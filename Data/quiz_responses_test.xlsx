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ui6\Downloads\LoveandInformaiton\"/>
    </mc:Choice>
  </mc:AlternateContent>
  <xr:revisionPtr revIDLastSave="0" documentId="13_ncr:1_{67BA4C85-ED88-4F14-A861-0C1DFCD0C1AF}" xr6:coauthVersionLast="47" xr6:coauthVersionMax="47" xr10:uidLastSave="{00000000-0000-0000-0000-000000000000}"/>
  <bookViews>
    <workbookView xWindow="-96" yWindow="0" windowWidth="18360" windowHeight="16656" xr2:uid="{8BED23DD-D3B0-45DD-B73A-C73B9B9B8242}"/>
  </bookViews>
  <sheets>
    <sheet name="quiz_responses (1)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9" i="1" l="1"/>
  <c r="H13" i="1" s="1"/>
  <c r="F178" i="1"/>
  <c r="H12" i="1" s="1"/>
  <c r="F165" i="1"/>
  <c r="H11" i="1" s="1"/>
  <c r="F158" i="1"/>
  <c r="H10" i="1" s="1"/>
  <c r="F150" i="1"/>
  <c r="H9" i="1" s="1"/>
  <c r="F134" i="1"/>
  <c r="H8" i="1" s="1"/>
  <c r="F127" i="1"/>
  <c r="H7" i="1" s="1"/>
  <c r="F118" i="1"/>
  <c r="H6" i="1" s="1"/>
  <c r="F104" i="1"/>
  <c r="H5" i="1" s="1"/>
  <c r="F75" i="1"/>
  <c r="H4" i="1" s="1"/>
  <c r="F63" i="1"/>
  <c r="H3" i="1" s="1"/>
  <c r="F37" i="1"/>
  <c r="H2" i="1" s="1"/>
  <c r="J2" i="1"/>
  <c r="T2" i="1" s="1"/>
  <c r="K7" i="1"/>
  <c r="I7" i="1"/>
  <c r="J7" i="1"/>
  <c r="I5" i="1"/>
  <c r="K5" i="1"/>
  <c r="I6" i="1"/>
  <c r="K6" i="1"/>
  <c r="I8" i="1"/>
  <c r="K8" i="1"/>
  <c r="I9" i="1"/>
  <c r="K9" i="1"/>
  <c r="I10" i="1"/>
  <c r="K10" i="1"/>
  <c r="I11" i="1"/>
  <c r="K11" i="1"/>
  <c r="I12" i="1"/>
  <c r="K12" i="1"/>
  <c r="I13" i="1"/>
  <c r="K13" i="1"/>
  <c r="I4" i="1"/>
  <c r="K4" i="1"/>
  <c r="J13" i="1"/>
  <c r="J12" i="1"/>
  <c r="J11" i="1"/>
  <c r="J10" i="1"/>
  <c r="J9" i="1"/>
  <c r="J8" i="1"/>
  <c r="J6" i="1"/>
  <c r="J5" i="1"/>
  <c r="J4" i="1"/>
  <c r="I3" i="1"/>
  <c r="K3" i="1"/>
  <c r="J3" i="1"/>
  <c r="K2" i="1"/>
  <c r="V18" i="1" s="1"/>
  <c r="I2" i="1"/>
  <c r="U18" i="1" s="1"/>
  <c r="N10" i="1" l="1"/>
  <c r="N6" i="1"/>
  <c r="N7" i="1"/>
  <c r="N11" i="1"/>
  <c r="L12" i="1"/>
  <c r="L6" i="1"/>
  <c r="L7" i="1"/>
  <c r="M7" i="1"/>
  <c r="M6" i="1"/>
  <c r="L10" i="1"/>
  <c r="N5" i="1"/>
  <c r="M10" i="1"/>
  <c r="N9" i="1"/>
  <c r="N4" i="1"/>
  <c r="L11" i="1"/>
  <c r="M8" i="1"/>
  <c r="L3" i="1"/>
  <c r="N12" i="1"/>
  <c r="M11" i="1"/>
  <c r="N13" i="1"/>
  <c r="M2" i="1"/>
  <c r="N2" i="1"/>
  <c r="M3" i="1"/>
  <c r="L8" i="1"/>
  <c r="M4" i="1"/>
  <c r="M12" i="1"/>
  <c r="N8" i="1"/>
  <c r="L5" i="1"/>
  <c r="L9" i="1"/>
  <c r="L13" i="1"/>
  <c r="N3" i="1"/>
  <c r="M5" i="1"/>
  <c r="M9" i="1"/>
  <c r="M13" i="1"/>
  <c r="L2" i="1"/>
  <c r="L4" i="1"/>
  <c r="H14" i="1"/>
  <c r="T18" i="1"/>
  <c r="Y18" i="1" s="1"/>
  <c r="I14" i="1"/>
  <c r="J14" i="1"/>
  <c r="K14" i="1"/>
  <c r="V2" i="1"/>
  <c r="U2" i="1"/>
  <c r="Y2" i="1" l="1"/>
  <c r="W18" i="1"/>
  <c r="X18" i="1"/>
  <c r="X2" i="1"/>
  <c r="W2" i="1"/>
  <c r="X19" i="1" l="1"/>
  <c r="R19" i="1"/>
  <c r="U19" i="1" s="1"/>
  <c r="Q3" i="1"/>
  <c r="T3" i="1" s="1"/>
  <c r="Q19" i="1"/>
  <c r="T19" i="1" s="1"/>
  <c r="S19" i="1"/>
  <c r="V19" i="1" s="1"/>
  <c r="R3" i="1"/>
  <c r="U3" i="1" s="1"/>
  <c r="S3" i="1"/>
  <c r="V3" i="1" s="1"/>
  <c r="Y19" i="1" l="1"/>
  <c r="W19" i="1"/>
  <c r="Y3" i="1"/>
  <c r="X3" i="1"/>
  <c r="W3" i="1"/>
  <c r="Q4" i="1" l="1"/>
  <c r="T4" i="1" s="1"/>
  <c r="S4" i="1"/>
  <c r="V4" i="1" s="1"/>
  <c r="R4" i="1"/>
  <c r="U4" i="1" s="1"/>
  <c r="R20" i="1"/>
  <c r="U20" i="1" s="1"/>
  <c r="Q20" i="1"/>
  <c r="T20" i="1" s="1"/>
  <c r="S20" i="1"/>
  <c r="V20" i="1" s="1"/>
  <c r="X20" i="1" l="1"/>
  <c r="W20" i="1"/>
  <c r="Y20" i="1"/>
  <c r="Y4" i="1"/>
  <c r="W4" i="1"/>
  <c r="X4" i="1"/>
  <c r="Q5" i="1" l="1"/>
  <c r="T5" i="1" s="1"/>
  <c r="S5" i="1"/>
  <c r="V5" i="1" s="1"/>
  <c r="R5" i="1"/>
  <c r="U5" i="1" s="1"/>
  <c r="R21" i="1"/>
  <c r="U21" i="1" s="1"/>
  <c r="Q21" i="1"/>
  <c r="T21" i="1" s="1"/>
  <c r="S21" i="1"/>
  <c r="V21" i="1" s="1"/>
  <c r="X21" i="1" l="1"/>
  <c r="Y21" i="1"/>
  <c r="W21" i="1"/>
  <c r="X5" i="1"/>
  <c r="W5" i="1"/>
  <c r="Y5" i="1"/>
  <c r="Q6" i="1" l="1"/>
  <c r="S6" i="1"/>
  <c r="V6" i="1" s="1"/>
  <c r="R6" i="1"/>
  <c r="U6" i="1" s="1"/>
  <c r="T6" i="1"/>
  <c r="S22" i="1"/>
  <c r="V22" i="1" s="1"/>
  <c r="R22" i="1"/>
  <c r="U22" i="1" s="1"/>
  <c r="Q22" i="1"/>
  <c r="T22" i="1" s="1"/>
  <c r="W6" i="1" l="1"/>
  <c r="Q7" i="1" s="1"/>
  <c r="T7" i="1" s="1"/>
  <c r="X6" i="1"/>
  <c r="Y6" i="1"/>
  <c r="Y22" i="1"/>
  <c r="W22" i="1"/>
  <c r="X22" i="1"/>
  <c r="R7" i="1" l="1"/>
  <c r="U7" i="1" s="1"/>
  <c r="R23" i="1"/>
  <c r="U23" i="1" s="1"/>
  <c r="S23" i="1"/>
  <c r="V23" i="1" s="1"/>
  <c r="S7" i="1"/>
  <c r="V7" i="1" s="1"/>
  <c r="Q23" i="1"/>
  <c r="T23" i="1" s="1"/>
  <c r="Y23" i="1" s="1"/>
  <c r="W7" i="1"/>
  <c r="Q8" i="1" s="1"/>
  <c r="X7" i="1"/>
  <c r="Y7" i="1"/>
  <c r="X23" i="1" l="1"/>
  <c r="W23" i="1"/>
  <c r="S8" i="1"/>
  <c r="V8" i="1" s="1"/>
  <c r="R8" i="1"/>
  <c r="U8" i="1" s="1"/>
  <c r="T8" i="1"/>
  <c r="S24" i="1"/>
  <c r="V24" i="1" s="1"/>
  <c r="R24" i="1"/>
  <c r="U24" i="1" s="1"/>
  <c r="Q24" i="1"/>
  <c r="T24" i="1" s="1"/>
  <c r="X8" i="1" l="1"/>
  <c r="Y8" i="1"/>
  <c r="W8" i="1"/>
  <c r="R9" i="1" s="1"/>
  <c r="U9" i="1" s="1"/>
  <c r="Y24" i="1"/>
  <c r="X24" i="1"/>
  <c r="W24" i="1"/>
  <c r="S25" i="1" l="1"/>
  <c r="V25" i="1" s="1"/>
  <c r="Q25" i="1"/>
  <c r="T25" i="1" s="1"/>
  <c r="R25" i="1"/>
  <c r="U25" i="1" s="1"/>
  <c r="S9" i="1"/>
  <c r="V9" i="1" s="1"/>
  <c r="Q9" i="1"/>
  <c r="T9" i="1" s="1"/>
  <c r="X9" i="1" s="1"/>
  <c r="Y9" i="1" l="1"/>
  <c r="W9" i="1"/>
  <c r="Y25" i="1"/>
  <c r="X25" i="1"/>
  <c r="W25" i="1"/>
  <c r="Q10" i="1" l="1"/>
  <c r="T10" i="1" s="1"/>
  <c r="S26" i="1"/>
  <c r="V26" i="1" s="1"/>
  <c r="Q26" i="1"/>
  <c r="T26" i="1" s="1"/>
  <c r="R26" i="1"/>
  <c r="U26" i="1" s="1"/>
  <c r="R10" i="1"/>
  <c r="U10" i="1" s="1"/>
  <c r="S10" i="1"/>
  <c r="V10" i="1" s="1"/>
  <c r="Y10" i="1" l="1"/>
  <c r="W10" i="1"/>
  <c r="S11" i="1" s="1"/>
  <c r="V11" i="1" s="1"/>
  <c r="X10" i="1"/>
  <c r="R11" i="1"/>
  <c r="U11" i="1" s="1"/>
  <c r="R27" i="1"/>
  <c r="U27" i="1" s="1"/>
  <c r="S27" i="1"/>
  <c r="V27" i="1" s="1"/>
  <c r="Q27" i="1"/>
  <c r="T27" i="1" s="1"/>
  <c r="Y26" i="1"/>
  <c r="X26" i="1"/>
  <c r="W26" i="1"/>
  <c r="Q11" i="1" l="1"/>
  <c r="T11" i="1" s="1"/>
  <c r="X11" i="1" s="1"/>
  <c r="Y11" i="1" l="1"/>
  <c r="W11" i="1"/>
  <c r="S12" i="1" s="1"/>
  <c r="V12" i="1" s="1"/>
  <c r="Y27" i="1"/>
  <c r="X27" i="1"/>
  <c r="W27" i="1"/>
  <c r="R28" i="1" l="1"/>
  <c r="U28" i="1" s="1"/>
  <c r="Q28" i="1"/>
  <c r="T28" i="1" s="1"/>
  <c r="R12" i="1"/>
  <c r="U12" i="1" s="1"/>
  <c r="Q12" i="1"/>
  <c r="T12" i="1" s="1"/>
  <c r="S28" i="1"/>
  <c r="V28" i="1" s="1"/>
  <c r="X12" i="1" l="1"/>
  <c r="W12" i="1"/>
  <c r="Q13" i="1" s="1"/>
  <c r="T13" i="1" s="1"/>
  <c r="Y12" i="1"/>
  <c r="Y28" i="1"/>
  <c r="W28" i="1"/>
  <c r="X28" i="1"/>
  <c r="R13" i="1" l="1"/>
  <c r="U13" i="1" s="1"/>
  <c r="S13" i="1"/>
  <c r="V13" i="1" s="1"/>
  <c r="S29" i="1"/>
  <c r="V29" i="1" s="1"/>
  <c r="Q29" i="1"/>
  <c r="T29" i="1" s="1"/>
  <c r="R29" i="1"/>
  <c r="U29" i="1" s="1"/>
  <c r="X13" i="1"/>
  <c r="W13" i="1"/>
  <c r="Y13" i="1"/>
  <c r="AD3" i="1" l="1"/>
  <c r="AD2" i="1"/>
  <c r="AD4" i="1"/>
  <c r="AB2" i="1"/>
  <c r="AB3" i="1"/>
  <c r="AB4" i="1"/>
  <c r="AC4" i="1"/>
  <c r="AC3" i="1"/>
  <c r="AC2" i="1"/>
  <c r="Y29" i="1"/>
  <c r="X29" i="1"/>
  <c r="W29" i="1"/>
  <c r="AC20" i="1" l="1"/>
  <c r="AC18" i="1"/>
  <c r="AC19" i="1"/>
  <c r="AB20" i="1"/>
  <c r="AB19" i="1"/>
  <c r="AB18" i="1"/>
  <c r="AD18" i="1"/>
  <c r="AD19" i="1"/>
  <c r="AD20" i="1"/>
</calcChain>
</file>

<file path=xl/sharedStrings.xml><?xml version="1.0" encoding="utf-8"?>
<sst xmlns="http://schemas.openxmlformats.org/spreadsheetml/2006/main" count="40" uniqueCount="22">
  <si>
    <t>id</t>
  </si>
  <si>
    <t>date</t>
  </si>
  <si>
    <t>IE</t>
  </si>
  <si>
    <t>DN</t>
  </si>
  <si>
    <t>SO</t>
  </si>
  <si>
    <t>Date</t>
  </si>
  <si>
    <t>AVG IE</t>
  </si>
  <si>
    <t>AVG DN</t>
  </si>
  <si>
    <t>AVG SO</t>
  </si>
  <si>
    <t>Total Averages</t>
  </si>
  <si>
    <t>Weight IE</t>
  </si>
  <si>
    <t>Weight DN</t>
  </si>
  <si>
    <t>Weight SO</t>
  </si>
  <si>
    <t>Weighted IE</t>
  </si>
  <si>
    <t>Weighted DN</t>
  </si>
  <si>
    <t>Weighted SO</t>
  </si>
  <si>
    <t>Second</t>
  </si>
  <si>
    <t>Third</t>
  </si>
  <si>
    <t>First</t>
  </si>
  <si>
    <t>Count</t>
  </si>
  <si>
    <t>Initial Weighting: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</si>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</sst>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22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14" fontId="0" fillId="0" borderId="0" xfId="0" applyNumberFormat="1" applyAlignment="1">
      <alignment horizontal="left"/>
    </xf>
    <xf numFmtId="0" fontId="0" fillId="35" borderId="0" xfId="0" applyFill="1"/>
    <xf numFmtId="2" fontId="0" fillId="0" borderId="0" xfId="0" applyNumberFormat="1" applyAlignment="1">
      <alignment horizontal="left"/>
    </xf>
    <xf numFmtId="2" fontId="16" fillId="35" borderId="0" xfId="0" applyNumberFormat="1" applyFont="1" applyFill="1" applyAlignment="1">
      <alignment horizontal="left"/>
    </xf>
    <xf numFmtId="0" fontId="16" fillId="35" borderId="0" xfId="0" applyFont="1" applyFill="1"/>
    <xf numFmtId="2" fontId="0" fillId="0" borderId="0" xfId="0" applyNumberFormat="1"/>
    <xf numFmtId="2" fontId="16" fillId="35" borderId="0" xfId="0" applyNumberFormat="1" applyFont="1" applyFill="1"/>
    <xf numFmtId="0" fontId="0" fillId="36" borderId="0" xfId="0" applyFill="1"/>
    <xf numFmtId="2" fontId="0" fillId="36" borderId="0" xfId="0" applyNumberFormat="1" applyFill="1"/>
    <xf numFmtId="0" fontId="16" fillId="0" borderId="0" xfId="0" applyFont="1"/>
    <xf numFmtId="0" fontId="0" fillId="0" borderId="0" xfId="0" applyAlignment="1">
      <alignment horizontal="center"/>
    </xf>
    <xf numFmtId="9" fontId="0" fillId="0" borderId="0" xfId="42" applyFont="1" applyAlignment="1">
      <alignment horizontal="left"/>
    </xf>
    <xf numFmtId="0" fontId="0" fillId="0" borderId="0" xfId="0" applyFill="1"/>
    <xf numFmtId="2" fontId="0" fillId="0" borderId="0" xfId="0" applyNumberFormat="1" applyFill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Average of IE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2025-03-05</c:v>
              </c:pt>
              <c:pt idx="1">
                <c:v>2025-03-06</c:v>
              </c:pt>
              <c:pt idx="2">
                <c:v>2025-03-07</c:v>
              </c:pt>
              <c:pt idx="3">
                <c:v>2025-03-08</c:v>
              </c:pt>
              <c:pt idx="4">
                <c:v>2025-03-09</c:v>
              </c:pt>
              <c:pt idx="5">
                <c:v>2025-03-10</c:v>
              </c:pt>
              <c:pt idx="6">
                <c:v>2025-03-11</c:v>
              </c:pt>
              <c:pt idx="7">
                <c:v>2025-03-12</c:v>
              </c:pt>
              <c:pt idx="8">
                <c:v>2025-03-13</c:v>
              </c:pt>
              <c:pt idx="9">
                <c:v>2025-03-14</c:v>
              </c:pt>
              <c:pt idx="10">
                <c:v>2025-03-15</c:v>
              </c:pt>
              <c:pt idx="11">
                <c:v>2025-03-16</c:v>
              </c:pt>
            </c:strLit>
          </c:cat>
          <c:val>
            <c:numLit>
              <c:formatCode>General</c:formatCode>
              <c:ptCount val="12"/>
              <c:pt idx="0">
                <c:v>4.833333333333333</c:v>
              </c:pt>
              <c:pt idx="1">
                <c:v>5.1538461538461542</c:v>
              </c:pt>
              <c:pt idx="2">
                <c:v>5.083333333333333</c:v>
              </c:pt>
              <c:pt idx="3">
                <c:v>4.2068965517241379</c:v>
              </c:pt>
              <c:pt idx="4">
                <c:v>4.1428571428571432</c:v>
              </c:pt>
              <c:pt idx="5">
                <c:v>4</c:v>
              </c:pt>
              <c:pt idx="6">
                <c:v>4.4285714285714288</c:v>
              </c:pt>
              <c:pt idx="7">
                <c:v>4.125</c:v>
              </c:pt>
              <c:pt idx="8">
                <c:v>5.875</c:v>
              </c:pt>
              <c:pt idx="9">
                <c:v>3.5714285714285716</c:v>
              </c:pt>
              <c:pt idx="10">
                <c:v>5.615384615384615</c:v>
              </c:pt>
              <c:pt idx="11">
                <c:v>4.3636363636363633</c:v>
              </c:pt>
            </c:numLit>
          </c:val>
          <c:extLst>
            <c:ext xmlns:c16="http://schemas.microsoft.com/office/drawing/2014/chart" uri="{C3380CC4-5D6E-409C-BE32-E72D297353CC}">
              <c16:uniqueId val="{00000000-5B83-41C4-804F-CAF5305F5DFB}"/>
            </c:ext>
          </c:extLst>
        </c:ser>
        <c:ser>
          <c:idx val="1"/>
          <c:order val="1"/>
          <c:tx>
            <c:v>Average of DN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2025-03-05</c:v>
              </c:pt>
              <c:pt idx="1">
                <c:v>2025-03-06</c:v>
              </c:pt>
              <c:pt idx="2">
                <c:v>2025-03-07</c:v>
              </c:pt>
              <c:pt idx="3">
                <c:v>2025-03-08</c:v>
              </c:pt>
              <c:pt idx="4">
                <c:v>2025-03-09</c:v>
              </c:pt>
              <c:pt idx="5">
                <c:v>2025-03-10</c:v>
              </c:pt>
              <c:pt idx="6">
                <c:v>2025-03-11</c:v>
              </c:pt>
              <c:pt idx="7">
                <c:v>2025-03-12</c:v>
              </c:pt>
              <c:pt idx="8">
                <c:v>2025-03-13</c:v>
              </c:pt>
              <c:pt idx="9">
                <c:v>2025-03-14</c:v>
              </c:pt>
              <c:pt idx="10">
                <c:v>2025-03-15</c:v>
              </c:pt>
              <c:pt idx="11">
                <c:v>2025-03-16</c:v>
              </c:pt>
            </c:strLit>
          </c:cat>
          <c:val>
            <c:numLit>
              <c:formatCode>General</c:formatCode>
              <c:ptCount val="12"/>
              <c:pt idx="0">
                <c:v>6.166666666666667</c:v>
              </c:pt>
              <c:pt idx="1">
                <c:v>5.8461538461538458</c:v>
              </c:pt>
              <c:pt idx="2">
                <c:v>5.666666666666667</c:v>
              </c:pt>
              <c:pt idx="3">
                <c:v>6.4137931034482758</c:v>
              </c:pt>
              <c:pt idx="4">
                <c:v>6.4285714285714288</c:v>
              </c:pt>
              <c:pt idx="5">
                <c:v>6</c:v>
              </c:pt>
              <c:pt idx="6">
                <c:v>6.4285714285714288</c:v>
              </c:pt>
              <c:pt idx="7">
                <c:v>6.0625</c:v>
              </c:pt>
              <c:pt idx="8">
                <c:v>6.25</c:v>
              </c:pt>
              <c:pt idx="9">
                <c:v>6.2857142857142856</c:v>
              </c:pt>
              <c:pt idx="10">
                <c:v>5.5384615384615383</c:v>
              </c:pt>
              <c:pt idx="11">
                <c:v>6.3636363636363633</c:v>
              </c:pt>
            </c:numLit>
          </c:val>
          <c:extLst>
            <c:ext xmlns:c16="http://schemas.microsoft.com/office/drawing/2014/chart" uri="{C3380CC4-5D6E-409C-BE32-E72D297353CC}">
              <c16:uniqueId val="{00000001-5B83-41C4-804F-CAF5305F5DFB}"/>
            </c:ext>
          </c:extLst>
        </c:ser>
        <c:ser>
          <c:idx val="2"/>
          <c:order val="2"/>
          <c:tx>
            <c:v>Average of SO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2025-03-05</c:v>
              </c:pt>
              <c:pt idx="1">
                <c:v>2025-03-06</c:v>
              </c:pt>
              <c:pt idx="2">
                <c:v>2025-03-07</c:v>
              </c:pt>
              <c:pt idx="3">
                <c:v>2025-03-08</c:v>
              </c:pt>
              <c:pt idx="4">
                <c:v>2025-03-09</c:v>
              </c:pt>
              <c:pt idx="5">
                <c:v>2025-03-10</c:v>
              </c:pt>
              <c:pt idx="6">
                <c:v>2025-03-11</c:v>
              </c:pt>
              <c:pt idx="7">
                <c:v>2025-03-12</c:v>
              </c:pt>
              <c:pt idx="8">
                <c:v>2025-03-13</c:v>
              </c:pt>
              <c:pt idx="9">
                <c:v>2025-03-14</c:v>
              </c:pt>
              <c:pt idx="10">
                <c:v>2025-03-15</c:v>
              </c:pt>
              <c:pt idx="11">
                <c:v>2025-03-16</c:v>
              </c:pt>
            </c:strLit>
          </c:cat>
          <c:val>
            <c:numLit>
              <c:formatCode>General</c:formatCode>
              <c:ptCount val="12"/>
              <c:pt idx="0">
                <c:v>3.2777777777777777</c:v>
              </c:pt>
              <c:pt idx="1">
                <c:v>3.2692307692307692</c:v>
              </c:pt>
              <c:pt idx="2">
                <c:v>3.0833333333333335</c:v>
              </c:pt>
              <c:pt idx="3">
                <c:v>3.5862068965517242</c:v>
              </c:pt>
              <c:pt idx="4">
                <c:v>4.0714285714285712</c:v>
              </c:pt>
              <c:pt idx="5">
                <c:v>4.4444444444444446</c:v>
              </c:pt>
              <c:pt idx="6">
                <c:v>3.5714285714285716</c:v>
              </c:pt>
              <c:pt idx="7">
                <c:v>4.125</c:v>
              </c:pt>
              <c:pt idx="8">
                <c:v>2.5</c:v>
              </c:pt>
              <c:pt idx="9">
                <c:v>5</c:v>
              </c:pt>
              <c:pt idx="10">
                <c:v>3.3846153846153846</c:v>
              </c:pt>
              <c:pt idx="11">
                <c:v>3.6363636363636362</c:v>
              </c:pt>
            </c:numLit>
          </c:val>
          <c:extLst>
            <c:ext xmlns:c16="http://schemas.microsoft.com/office/drawing/2014/chart" uri="{C3380CC4-5D6E-409C-BE32-E72D297353CC}">
              <c16:uniqueId val="{00000002-5B83-41C4-804F-CAF5305F5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357967"/>
        <c:axId val="1186350767"/>
      </c:barChart>
      <c:catAx>
        <c:axId val="118635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50767"/>
        <c:crosses val="autoZero"/>
        <c:auto val="1"/>
        <c:lblAlgn val="ctr"/>
        <c:lblOffset val="100"/>
        <c:noMultiLvlLbl val="0"/>
      </c:catAx>
      <c:valAx>
        <c:axId val="118635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5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Finilized Weighted Averages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'quiz_responses (1)'!$T$1</c:f>
              <c:strCache>
                <c:ptCount val="1"/>
                <c:pt idx="0">
                  <c:v>Weighted 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'quiz_responses (1)'!$T$2:$T$13</c:f>
              <c:numCache>
                <c:formatCode>0.00</c:formatCode>
                <c:ptCount val="12"/>
                <c:pt idx="0">
                  <c:v>4.833333333333333</c:v>
                </c:pt>
                <c:pt idx="1">
                  <c:v>5.1538461538461542</c:v>
                </c:pt>
                <c:pt idx="2">
                  <c:v>3.8125</c:v>
                </c:pt>
                <c:pt idx="3">
                  <c:v>3.8125</c:v>
                </c:pt>
                <c:pt idx="4">
                  <c:v>3.1071428571428577</c:v>
                </c:pt>
                <c:pt idx="5">
                  <c:v>4</c:v>
                </c:pt>
                <c:pt idx="6">
                  <c:v>4.4285714285714288</c:v>
                </c:pt>
                <c:pt idx="7">
                  <c:v>3.09375</c:v>
                </c:pt>
                <c:pt idx="8">
                  <c:v>5.875</c:v>
                </c:pt>
                <c:pt idx="9">
                  <c:v>2.6785714285714288</c:v>
                </c:pt>
                <c:pt idx="10">
                  <c:v>5.615384615384615</c:v>
                </c:pt>
                <c:pt idx="11">
                  <c:v>3.2727272727272725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0-4B54-9620-637DFB742516}"/>
            </c:ext>
          </c:extLst>
        </c:ser>
        <c:ser>
          <c:idx val="1"/>
          <c:order val="1"/>
          <c:tx>
            <c:strRef>
              <c:f>'quiz_responses (1)'!$U$1</c:f>
              <c:strCache>
                <c:ptCount val="1"/>
                <c:pt idx="0">
                  <c:v>Weighted DN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'quiz_responses (1)'!$U$2:$U$13</c:f>
              <c:numCache>
                <c:formatCode>0.00</c:formatCode>
                <c:ptCount val="12"/>
                <c:pt idx="0">
                  <c:v>6.166666666666667</c:v>
                </c:pt>
                <c:pt idx="1">
                  <c:v>4.9692307692307685</c:v>
                </c:pt>
                <c:pt idx="2">
                  <c:v>2.9466666666666668</c:v>
                </c:pt>
                <c:pt idx="3">
                  <c:v>2.9466666666666668</c:v>
                </c:pt>
                <c:pt idx="4">
                  <c:v>3.342857142857143</c:v>
                </c:pt>
                <c:pt idx="5">
                  <c:v>3.12</c:v>
                </c:pt>
                <c:pt idx="6">
                  <c:v>3.342857142857143</c:v>
                </c:pt>
                <c:pt idx="7">
                  <c:v>3.1525000000000003</c:v>
                </c:pt>
                <c:pt idx="8">
                  <c:v>3.25</c:v>
                </c:pt>
                <c:pt idx="9">
                  <c:v>3.2685714285714287</c:v>
                </c:pt>
                <c:pt idx="10">
                  <c:v>2.88</c:v>
                </c:pt>
                <c:pt idx="11">
                  <c:v>3.3090909090909091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F0-4B54-9620-637DFB742516}"/>
            </c:ext>
          </c:extLst>
        </c:ser>
        <c:ser>
          <c:idx val="2"/>
          <c:order val="2"/>
          <c:tx>
            <c:strRef>
              <c:f>'quiz_responses (1)'!$V$1</c:f>
              <c:strCache>
                <c:ptCount val="1"/>
                <c:pt idx="0">
                  <c:v>Weighted SO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'quiz_responses (1)'!$V$2:$V$13</c:f>
              <c:numCache>
                <c:formatCode>0.00</c:formatCode>
                <c:ptCount val="12"/>
                <c:pt idx="0">
                  <c:v>3.2777777777777777</c:v>
                </c:pt>
                <c:pt idx="1">
                  <c:v>3.9230769230769229</c:v>
                </c:pt>
                <c:pt idx="2">
                  <c:v>3.7</c:v>
                </c:pt>
                <c:pt idx="3">
                  <c:v>3.7</c:v>
                </c:pt>
                <c:pt idx="4">
                  <c:v>4.8857142857142852</c:v>
                </c:pt>
                <c:pt idx="5">
                  <c:v>4.4444444444444446</c:v>
                </c:pt>
                <c:pt idx="6">
                  <c:v>3.5714285714285716</c:v>
                </c:pt>
                <c:pt idx="7">
                  <c:v>4.95</c:v>
                </c:pt>
                <c:pt idx="8">
                  <c:v>2.5</c:v>
                </c:pt>
                <c:pt idx="9">
                  <c:v>6</c:v>
                </c:pt>
                <c:pt idx="10">
                  <c:v>3.3846153846153846</c:v>
                </c:pt>
                <c:pt idx="11">
                  <c:v>4.3636363636363633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F0-4B54-9620-637DFB742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7111984"/>
        <c:axId val="1787110064"/>
      </c:barChart>
      <c:catAx>
        <c:axId val="1787111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110064"/>
        <c:crosses val="autoZero"/>
        <c:auto val="1"/>
        <c:lblAlgn val="ctr"/>
        <c:lblOffset val="100"/>
        <c:noMultiLvlLbl val="0"/>
      </c:catAx>
      <c:valAx>
        <c:axId val="178711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11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Initial Weighted Averages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'quiz_responses (1)'!$T$17</c:f>
              <c:strCache>
                <c:ptCount val="1"/>
                <c:pt idx="0">
                  <c:v>Weighted 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'quiz_responses (1)'!$T$18:$T$29</c:f>
              <c:numCache>
                <c:formatCode>0.00</c:formatCode>
                <c:ptCount val="12"/>
                <c:pt idx="0">
                  <c:v>4.833333333333333</c:v>
                </c:pt>
                <c:pt idx="1">
                  <c:v>6.6484615384615386</c:v>
                </c:pt>
                <c:pt idx="2">
                  <c:v>6.5575000000000001</c:v>
                </c:pt>
                <c:pt idx="3">
                  <c:v>6.5575000000000001</c:v>
                </c:pt>
                <c:pt idx="4">
                  <c:v>5.3442857142857152</c:v>
                </c:pt>
                <c:pt idx="5">
                  <c:v>5.16</c:v>
                </c:pt>
                <c:pt idx="6">
                  <c:v>5.7128571428571435</c:v>
                </c:pt>
                <c:pt idx="7">
                  <c:v>5.32125</c:v>
                </c:pt>
                <c:pt idx="8">
                  <c:v>7.5787500000000003</c:v>
                </c:pt>
                <c:pt idx="9">
                  <c:v>4.6071428571428577</c:v>
                </c:pt>
                <c:pt idx="10">
                  <c:v>7.2438461538461532</c:v>
                </c:pt>
                <c:pt idx="11">
                  <c:v>5.6290909090909089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D-46FC-B0E1-2BCBEADAB0BE}"/>
            </c:ext>
          </c:extLst>
        </c:ser>
        <c:ser>
          <c:idx val="1"/>
          <c:order val="1"/>
          <c:tx>
            <c:strRef>
              <c:f>'quiz_responses (1)'!$U$17</c:f>
              <c:strCache>
                <c:ptCount val="1"/>
                <c:pt idx="0">
                  <c:v>Weighted DN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'quiz_responses (1)'!$U$18:$U$29</c:f>
              <c:numCache>
                <c:formatCode>0.00</c:formatCode>
                <c:ptCount val="12"/>
                <c:pt idx="0">
                  <c:v>6.166666666666667</c:v>
                </c:pt>
                <c:pt idx="1">
                  <c:v>5.8461538461538458</c:v>
                </c:pt>
                <c:pt idx="2">
                  <c:v>5.666666666666667</c:v>
                </c:pt>
                <c:pt idx="3">
                  <c:v>5.666666666666667</c:v>
                </c:pt>
                <c:pt idx="4">
                  <c:v>6.4285714285714288</c:v>
                </c:pt>
                <c:pt idx="5">
                  <c:v>6</c:v>
                </c:pt>
                <c:pt idx="6">
                  <c:v>6.4285714285714288</c:v>
                </c:pt>
                <c:pt idx="7">
                  <c:v>6.0625</c:v>
                </c:pt>
                <c:pt idx="8">
                  <c:v>6.25</c:v>
                </c:pt>
                <c:pt idx="9">
                  <c:v>6.2857142857142856</c:v>
                </c:pt>
                <c:pt idx="10">
                  <c:v>5.5384615384615383</c:v>
                </c:pt>
                <c:pt idx="11">
                  <c:v>6.3636363636363633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BD-46FC-B0E1-2BCBEADAB0BE}"/>
            </c:ext>
          </c:extLst>
        </c:ser>
        <c:ser>
          <c:idx val="2"/>
          <c:order val="2"/>
          <c:tx>
            <c:strRef>
              <c:f>'quiz_responses (1)'!$V$17</c:f>
              <c:strCache>
                <c:ptCount val="1"/>
                <c:pt idx="0">
                  <c:v>Weighted SO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'quiz_responses (1)'!$V$18:$V$29</c:f>
              <c:numCache>
                <c:formatCode>0.00</c:formatCode>
                <c:ptCount val="12"/>
                <c:pt idx="0">
                  <c:v>3.2777777777777777</c:v>
                </c:pt>
                <c:pt idx="1">
                  <c:v>5.4596153846153843</c:v>
                </c:pt>
                <c:pt idx="2">
                  <c:v>5.1491666666666669</c:v>
                </c:pt>
                <c:pt idx="3">
                  <c:v>5.1491666666666669</c:v>
                </c:pt>
                <c:pt idx="4">
                  <c:v>6.7992857142857135</c:v>
                </c:pt>
                <c:pt idx="5">
                  <c:v>7.4222222222222225</c:v>
                </c:pt>
                <c:pt idx="6">
                  <c:v>5.9642857142857144</c:v>
                </c:pt>
                <c:pt idx="7">
                  <c:v>6.8887499999999999</c:v>
                </c:pt>
                <c:pt idx="8">
                  <c:v>4.1749999999999998</c:v>
                </c:pt>
                <c:pt idx="9">
                  <c:v>8.35</c:v>
                </c:pt>
                <c:pt idx="10">
                  <c:v>5.6523076923076916</c:v>
                </c:pt>
                <c:pt idx="11">
                  <c:v>6.0727272727272723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BD-46FC-B0E1-2BCBEADAB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742432"/>
        <c:axId val="1788743392"/>
      </c:barChart>
      <c:catAx>
        <c:axId val="1788742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743392"/>
        <c:crosses val="autoZero"/>
        <c:auto val="1"/>
        <c:lblAlgn val="ctr"/>
        <c:lblOffset val="100"/>
        <c:noMultiLvlLbl val="0"/>
      </c:catAx>
      <c:valAx>
        <c:axId val="17887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74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2004</xdr:colOff>
      <xdr:row>29</xdr:row>
      <xdr:rowOff>160020</xdr:rowOff>
    </xdr:from>
    <xdr:to>
      <xdr:col>10</xdr:col>
      <xdr:colOff>545881</xdr:colOff>
      <xdr:row>43</xdr:row>
      <xdr:rowOff>25498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63A76E-FDC8-4A92-8713-1017B9E9C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9525</xdr:colOff>
      <xdr:row>30</xdr:row>
      <xdr:rowOff>8572</xdr:rowOff>
    </xdr:from>
    <xdr:to>
      <xdr:col>21</xdr:col>
      <xdr:colOff>758190</xdr:colOff>
      <xdr:row>45</xdr:row>
      <xdr:rowOff>29527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BEFC77-0BBF-300A-D59B-C70275F5A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1143952</xdr:colOff>
      <xdr:row>30</xdr:row>
      <xdr:rowOff>952</xdr:rowOff>
    </xdr:from>
    <xdr:to>
      <xdr:col>14</xdr:col>
      <xdr:colOff>1189672</xdr:colOff>
      <xdr:row>45</xdr:row>
      <xdr:rowOff>29527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DBA5AD-09FD-3612-BC6A-FCC1320BF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ui6\Downloads\quiz_responses%20(2).csv" TargetMode="External"/><Relationship Id="rId1" Type="http://schemas.openxmlformats.org/officeDocument/2006/relationships/externalLinkPath" Target="/Users/acui6/Downloads/quiz_responses%20(2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iz_responses (2)"/>
    </sheetNames>
    <sheetDataSet>
      <sheetData sheetId="0">
        <row r="2">
          <cell r="V2" t="str">
            <v>IE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099F-3AEB-45EF-BC4E-B86DDF6699FE}">
  <dimension ref="A1:AD189"/>
  <sheetViews>
    <sheetView tabSelected="1" topLeftCell="O1" zoomScaleNormal="100" workbookViewId="0">
      <selection activeCell="Q35" sqref="Q35"/>
    </sheetView>
  </sheetViews>
  <sheetFormatPr defaultRowHeight="14.4" x14ac:dyDescent="0.3"/>
  <cols>
    <col min="2" max="2" width="18.109375" customWidth="1"/>
    <col min="7" max="7" width="20.6640625" customWidth="1"/>
    <col min="8" max="8" width="15.5546875" customWidth="1"/>
    <col min="9" max="9" width="13.77734375" customWidth="1"/>
    <col min="10" max="10" width="15.5546875" customWidth="1"/>
    <col min="11" max="11" width="16.77734375" customWidth="1"/>
    <col min="12" max="14" width="16.44140625" customWidth="1"/>
    <col min="15" max="16" width="20.21875" customWidth="1"/>
    <col min="17" max="20" width="13.44140625" customWidth="1"/>
    <col min="21" max="21" width="15.33203125" customWidth="1"/>
    <col min="22" max="22" width="14.5546875" customWidth="1"/>
    <col min="23" max="23" width="12.109375" customWidth="1"/>
    <col min="24" max="24" width="10.88671875" customWidth="1"/>
    <col min="25" max="25" width="11.6640625" customWidth="1"/>
    <col min="28" max="28" width="11.5546875" customWidth="1"/>
  </cols>
  <sheetData>
    <row r="1" spans="1:30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/>
      <c r="G1" s="10" t="s">
        <v>5</v>
      </c>
      <c r="H1" s="10" t="s">
        <v>19</v>
      </c>
      <c r="I1" s="10" t="s">
        <v>7</v>
      </c>
      <c r="J1" s="10" t="s">
        <v>6</v>
      </c>
      <c r="K1" s="10" t="s">
        <v>8</v>
      </c>
      <c r="L1" s="10" t="s">
        <v>18</v>
      </c>
      <c r="M1" s="10" t="s">
        <v>16</v>
      </c>
      <c r="N1" s="10" t="s">
        <v>17</v>
      </c>
      <c r="P1" s="10"/>
      <c r="Q1" s="10" t="s">
        <v>10</v>
      </c>
      <c r="R1" s="10" t="s">
        <v>11</v>
      </c>
      <c r="S1" s="10" t="s">
        <v>12</v>
      </c>
      <c r="T1" s="10" t="s">
        <v>13</v>
      </c>
      <c r="U1" s="10" t="s">
        <v>14</v>
      </c>
      <c r="V1" s="10" t="s">
        <v>15</v>
      </c>
      <c r="W1" s="10" t="s">
        <v>18</v>
      </c>
      <c r="X1" s="10" t="s">
        <v>16</v>
      </c>
      <c r="Y1" s="10" t="s">
        <v>17</v>
      </c>
    </row>
    <row r="2" spans="1:30" x14ac:dyDescent="0.3">
      <c r="A2" s="2">
        <v>19</v>
      </c>
      <c r="B2" s="3">
        <v>45721</v>
      </c>
      <c r="C2" s="2">
        <v>3</v>
      </c>
      <c r="D2" s="2">
        <v>6</v>
      </c>
      <c r="E2" s="2">
        <v>6</v>
      </c>
      <c r="G2" s="6">
        <v>45721</v>
      </c>
      <c r="H2">
        <f>F37</f>
        <v>36</v>
      </c>
      <c r="I2" s="8">
        <f>AVERAGE(D2:D37)</f>
        <v>6.166666666666667</v>
      </c>
      <c r="J2" s="8">
        <f>AVERAGE(C2:C37)</f>
        <v>4.833333333333333</v>
      </c>
      <c r="K2" s="8">
        <f>AVERAGE(E2:E37)</f>
        <v>3.2777777777777777</v>
      </c>
      <c r="L2" t="str">
        <f>IF(AND(I2&gt;J2,I2&gt;K2),"DN",IF(AND(J2&gt;I2,J2&gt;K2),"IE",IF(AND(K2&gt;J2,K2&gt;I2),"SO","Tie")))</f>
        <v>DN</v>
      </c>
      <c r="M2" t="str">
        <f>IF(AND(I2&gt;J2,I2&gt;K2),
    IF(J2&gt;K2,"IE","SO"),
    IF(AND(J2&gt;I2,J2&gt;K2),
        IF(I2&gt;K2,"DN","SO"),
        IF(AND(K2&gt;J2,K2&gt;I2),
            IF(J2&gt;I2,"IE","DN"),
            "Tie")))</f>
        <v>IE</v>
      </c>
      <c r="N2" t="str">
        <f>IF(AND(I2&gt;J2,I2&gt;K2),
    IF(J2&gt;K2,"SO","IE"),
    IF(AND(J2&gt;I2,J2&gt;K2),
        IF(I2&gt;K2,"SO","DN"),
        IF(AND(K2&gt;J2,K2&gt;I2),
            IF(J2&gt;I2,"DN","IE"),
            "Tie")))</f>
        <v>SO</v>
      </c>
      <c r="Q2" s="11">
        <v>1</v>
      </c>
      <c r="R2" s="11">
        <v>1</v>
      </c>
      <c r="S2" s="11">
        <v>1</v>
      </c>
      <c r="T2" s="11">
        <f>J2*Q2</f>
        <v>4.833333333333333</v>
      </c>
      <c r="U2" s="11">
        <f>I2*R2</f>
        <v>6.166666666666667</v>
      </c>
      <c r="V2" s="11">
        <f>K2*S2</f>
        <v>3.2777777777777777</v>
      </c>
      <c r="W2" t="str">
        <f>IF(AND(U2&gt;T2,U2&gt;V2),"DN",IF(AND(T2&gt;U2,T2&gt;V2),"IE",IF(AND(V2&gt;T2,V2&gt;U2),"SO","Tie")))</f>
        <v>DN</v>
      </c>
      <c r="X2" t="str">
        <f>IF(AND(U2&gt;T2,U2&gt;V2),
    IF(T2&gt;V2,"IE","SO"),
    IF(AND(T2&gt;U2,T2&gt;V2),
        IF(U2&gt;V2,"DN","SO"),
        IF(AND(V2&gt;T2,V2&gt;U2),
            IF(T2&gt;U2,"IE","DN"),
            "Tie")))</f>
        <v>IE</v>
      </c>
      <c r="Y2" t="str">
        <f>IF(AND(U2&gt;T2,U2&gt;V2),
    IF(T2&gt;V2,"SO","IE"),
    IF(AND(T2&gt;U2,T2&gt;V2),
        IF(U2&gt;V2,"SO","DN"),
        IF(AND(V2&gt;T2,V2&gt;U2),
            IF(T2&gt;U2,"DN","IE"),
            "Tie")))</f>
        <v>SO</v>
      </c>
      <c r="AA2" s="16" t="s">
        <v>3</v>
      </c>
      <c r="AB2" s="17">
        <f>(COUNTIF(W2:W13,"DN"))/COUNTA(Y2:Y13)</f>
        <v>8.3333333333333329E-2</v>
      </c>
      <c r="AC2" s="17">
        <f>(COUNTIF(X2:X13,"DN"))/COUNTA(X2:X13)</f>
        <v>0.5</v>
      </c>
      <c r="AD2" s="17">
        <f>(COUNTIF(Y2:Y13,"DN"))/COUNTA(Y2:Y13)</f>
        <v>0.41666666666666669</v>
      </c>
    </row>
    <row r="3" spans="1:30" x14ac:dyDescent="0.3">
      <c r="A3" s="2">
        <v>22</v>
      </c>
      <c r="B3" s="3">
        <v>45721</v>
      </c>
      <c r="C3" s="2">
        <v>6</v>
      </c>
      <c r="D3" s="2">
        <v>5</v>
      </c>
      <c r="E3" s="2">
        <v>4</v>
      </c>
      <c r="G3" s="6">
        <v>45722</v>
      </c>
      <c r="H3">
        <f>F63</f>
        <v>26</v>
      </c>
      <c r="I3" s="8">
        <f>AVERAGE(D38:D63)</f>
        <v>5.8461538461538458</v>
      </c>
      <c r="J3" s="8">
        <f>AVERAGE(C38:C63)</f>
        <v>5.1538461538461542</v>
      </c>
      <c r="K3" s="8">
        <f>AVERAGE(E38:E63)</f>
        <v>3.2692307692307692</v>
      </c>
      <c r="L3" t="str">
        <f>IF(AND(I3&gt;J3,I3&gt;K3),"DN",IF(AND(J3&gt;I3,J3&gt;K3),"IE",IF(AND(K3&gt;J3,K3&gt;I3),"SO","Tie")))</f>
        <v>DN</v>
      </c>
      <c r="M3" t="str">
        <f>IF(AND(I3&gt;J3,I3&gt;K3),
    IF(J3&gt;K3,"IE","SO"),
    IF(AND(J3&gt;I3,J3&gt;K3),
        IF(I3&gt;K3,"DN","SO"),
        IF(AND(K3&gt;J3,K3&gt;I3),
            IF(J3&gt;I3,"IE","DN"),
            "Tie")))</f>
        <v>IE</v>
      </c>
      <c r="N3" t="str">
        <f>IF(AND(I3&gt;J3,I3&gt;K3),
    IF(J3&gt;K3,"SO","IE"),
    IF(AND(J3&gt;I3,J3&gt;K3),
        IF(I3&gt;K3,"SO","DN"),
        IF(AND(K3&gt;J3,K3&gt;I3),
            IF(J3&gt;I3,"DN","IE"),
            "Tie")))</f>
        <v>SO</v>
      </c>
      <c r="Q3" s="11">
        <f t="shared" ref="Q3:Q13" si="0">IF(W2="DN",1,IF(W2="IE",0.75,1))</f>
        <v>1</v>
      </c>
      <c r="R3" s="11">
        <f>IF(W2="DN",0.85,IF(W2="IE",0.52,0.52))</f>
        <v>0.85</v>
      </c>
      <c r="S3" s="11">
        <f>IF(W2="DN",1.2,IF(W2="IE",1.2,1))</f>
        <v>1.2</v>
      </c>
      <c r="T3" s="11">
        <f>J3*Q3</f>
        <v>5.1538461538461542</v>
      </c>
      <c r="U3" s="11">
        <f>I3*R3</f>
        <v>4.9692307692307685</v>
      </c>
      <c r="V3" s="11">
        <f>K3*S3</f>
        <v>3.9230769230769229</v>
      </c>
      <c r="W3" t="str">
        <f t="shared" ref="W3:W13" si="1">IF(AND(U3&gt;T3,U3&gt;V3),"DN",IF(AND(T3&gt;U3,T3&gt;V3),"IE",IF(AND(V3&gt;T3,V3&gt;U3),"SO","Tie")))</f>
        <v>IE</v>
      </c>
      <c r="X3" t="str">
        <f t="shared" ref="X3:X13" si="2">IF(AND(U3&gt;T3,U3&gt;V3),
    IF(T3&gt;V3,"IE","SO"),
    IF(AND(T3&gt;U3,T3&gt;V3),
        IF(U3&gt;V3,"DN","SO"),
        IF(AND(V3&gt;T3,V3&gt;U3),
            IF(T3&gt;U3,"IE","DN"),
            "Tie")))</f>
        <v>DN</v>
      </c>
      <c r="Y3" t="str">
        <f t="shared" ref="Y3:Y13" si="3">IF(AND(U3&gt;T3,U3&gt;V3),
    IF(T3&gt;V3,"SO","IE"),
    IF(AND(T3&gt;U3,T3&gt;V3),
        IF(U3&gt;V3,"SO","DN"),
        IF(AND(V3&gt;T3,V3&gt;U3),
            IF(T3&gt;U3,"DN","IE"),
            "Tie")))</f>
        <v>SO</v>
      </c>
      <c r="AA3" s="16" t="s">
        <v>2</v>
      </c>
      <c r="AB3" s="17">
        <f>(COUNTIF(W2:W13,"IE"))/COUNTA(W2:W13)</f>
        <v>0.5</v>
      </c>
      <c r="AC3" s="17">
        <f>(COUNTIF(X2:X13,"IE"))/COUNTA(X2:X13)</f>
        <v>0.16666666666666666</v>
      </c>
      <c r="AD3" s="17">
        <f>(COUNTIF(Y2:Y13,"IE"))/COUNTA(Y2:Y13)</f>
        <v>0.33333333333333331</v>
      </c>
    </row>
    <row r="4" spans="1:30" x14ac:dyDescent="0.3">
      <c r="A4" s="2">
        <v>28</v>
      </c>
      <c r="B4" s="3">
        <v>45721</v>
      </c>
      <c r="C4" s="2">
        <v>3</v>
      </c>
      <c r="D4" s="2">
        <v>7</v>
      </c>
      <c r="E4" s="2">
        <v>5</v>
      </c>
      <c r="G4" s="6">
        <v>45723</v>
      </c>
      <c r="H4">
        <f>F75</f>
        <v>12</v>
      </c>
      <c r="I4" s="8">
        <f>AVERAGE(D64:D75)</f>
        <v>5.666666666666667</v>
      </c>
      <c r="J4" s="8">
        <f>AVERAGE(C64:C75)</f>
        <v>5.083333333333333</v>
      </c>
      <c r="K4" s="8">
        <f>AVERAGE(E64:E75)</f>
        <v>3.0833333333333335</v>
      </c>
      <c r="L4" t="str">
        <f>IF(AND(I4&gt;J4,I4&gt;K4),"DN",IF(AND(J4&gt;I4,J4&gt;K4),"IE",IF(AND(K4&gt;J4,K4&gt;I4),"SO","Tie")))</f>
        <v>DN</v>
      </c>
      <c r="M4" t="str">
        <f>IF(AND(I4&gt;J4,I4&gt;K4),
    IF(J4&gt;K4,"IE","SO"),
    IF(AND(J4&gt;I4,J4&gt;K4),
        IF(I4&gt;K4,"DN","SO"),
        IF(AND(K4&gt;J4,K4&gt;I4),
            IF(J4&gt;I4,"IE","DN"),
            "Tie")))</f>
        <v>IE</v>
      </c>
      <c r="N4" t="str">
        <f>IF(AND(I4&gt;J4,I4&gt;K4),
    IF(J4&gt;K4,"SO","IE"),
    IF(AND(J4&gt;I4,J4&gt;K4),
        IF(I4&gt;K4,"SO","DN"),
        IF(AND(K4&gt;J4,K4&gt;I4),
            IF(J4&gt;I4,"DN","IE"),
            "Tie")))</f>
        <v>SO</v>
      </c>
      <c r="Q4" s="11">
        <f t="shared" si="0"/>
        <v>0.75</v>
      </c>
      <c r="R4" s="11">
        <f t="shared" ref="R4:R13" si="4">IF(W3="DN",0.85,IF(W3="IE",0.52,0.52))</f>
        <v>0.52</v>
      </c>
      <c r="S4" s="11">
        <f t="shared" ref="S4:S13" si="5">IF(W3="DN",1.2,IF(W3="IE",1.2,1))</f>
        <v>1.2</v>
      </c>
      <c r="T4" s="11">
        <f>J4*Q4</f>
        <v>3.8125</v>
      </c>
      <c r="U4" s="11">
        <f>I4*R4</f>
        <v>2.9466666666666668</v>
      </c>
      <c r="V4" s="11">
        <f>K4*S4</f>
        <v>3.7</v>
      </c>
      <c r="W4" t="str">
        <f t="shared" si="1"/>
        <v>IE</v>
      </c>
      <c r="X4" t="str">
        <f t="shared" si="2"/>
        <v>SO</v>
      </c>
      <c r="Y4" t="str">
        <f t="shared" si="3"/>
        <v>DN</v>
      </c>
      <c r="AA4" s="16" t="s">
        <v>4</v>
      </c>
      <c r="AB4" s="17">
        <f>(COUNTIF(W2:W13,"SO"))/COUNTA(W2:W13)</f>
        <v>0.41666666666666669</v>
      </c>
      <c r="AC4" s="17">
        <f>(COUNTIF(X2:X13,"SO"))/COUNTA(X2:X13)</f>
        <v>0.33333333333333331</v>
      </c>
      <c r="AD4" s="17">
        <f t="shared" ref="AD4" si="6">(COUNTIF(Y2:Y13,"SO"))/COUNTA(Y2:Y13)</f>
        <v>0.25</v>
      </c>
    </row>
    <row r="5" spans="1:30" x14ac:dyDescent="0.3">
      <c r="A5" s="2">
        <v>30</v>
      </c>
      <c r="B5" s="3">
        <v>45721</v>
      </c>
      <c r="C5" s="2">
        <v>6</v>
      </c>
      <c r="D5" s="2">
        <v>7</v>
      </c>
      <c r="E5" s="2">
        <v>2</v>
      </c>
      <c r="G5" s="6">
        <v>45724</v>
      </c>
      <c r="H5">
        <f>F104</f>
        <v>29</v>
      </c>
      <c r="I5" s="8">
        <f>AVERAGE(D64:D75)</f>
        <v>5.666666666666667</v>
      </c>
      <c r="J5" s="8">
        <f>AVERAGE(C64:C75)</f>
        <v>5.083333333333333</v>
      </c>
      <c r="K5" s="8">
        <f>AVERAGE(E64:E75)</f>
        <v>3.0833333333333335</v>
      </c>
      <c r="L5" t="str">
        <f>IF(AND(I5&gt;J5,I5&gt;K5),"DN",IF(AND(J5&gt;I5,J5&gt;K5),"IE",IF(AND(K5&gt;J5,K5&gt;I5),"SO","Tie")))</f>
        <v>DN</v>
      </c>
      <c r="M5" t="str">
        <f>IF(AND(I5&gt;J5,I5&gt;K5),
    IF(J5&gt;K5,"IE","SO"),
    IF(AND(J5&gt;I5,J5&gt;K5),
        IF(I5&gt;K5,"DN","SO"),
        IF(AND(K5&gt;J5,K5&gt;I5),
            IF(J5&gt;I5,"IE","DN"),
            "Tie")))</f>
        <v>IE</v>
      </c>
      <c r="N5" t="str">
        <f>IF(AND(I5&gt;J5,I5&gt;K5),
    IF(J5&gt;K5,"SO","IE"),
    IF(AND(J5&gt;I5,J5&gt;K5),
        IF(I5&gt;K5,"SO","DN"),
        IF(AND(K5&gt;J5,K5&gt;I5),
            IF(J5&gt;I5,"DN","IE"),
            "Tie")))</f>
        <v>SO</v>
      </c>
      <c r="Q5" s="11">
        <f t="shared" si="0"/>
        <v>0.75</v>
      </c>
      <c r="R5" s="11">
        <f t="shared" si="4"/>
        <v>0.52</v>
      </c>
      <c r="S5" s="11">
        <f t="shared" si="5"/>
        <v>1.2</v>
      </c>
      <c r="T5" s="11">
        <f>J5*Q5</f>
        <v>3.8125</v>
      </c>
      <c r="U5" s="11">
        <f>I5*R5</f>
        <v>2.9466666666666668</v>
      </c>
      <c r="V5" s="11">
        <f>K5*S5</f>
        <v>3.7</v>
      </c>
      <c r="W5" t="str">
        <f t="shared" si="1"/>
        <v>IE</v>
      </c>
      <c r="X5" t="str">
        <f t="shared" si="2"/>
        <v>SO</v>
      </c>
      <c r="Y5" t="str">
        <f t="shared" si="3"/>
        <v>DN</v>
      </c>
    </row>
    <row r="6" spans="1:30" x14ac:dyDescent="0.3">
      <c r="A6" s="2">
        <v>33</v>
      </c>
      <c r="B6" s="3">
        <v>45721</v>
      </c>
      <c r="C6" s="2">
        <v>5</v>
      </c>
      <c r="D6" s="2">
        <v>6</v>
      </c>
      <c r="E6" s="2">
        <v>3</v>
      </c>
      <c r="G6" s="6">
        <v>45725</v>
      </c>
      <c r="H6">
        <f>F118</f>
        <v>14</v>
      </c>
      <c r="I6" s="8">
        <f>AVERAGE(D105:D118)</f>
        <v>6.4285714285714288</v>
      </c>
      <c r="J6" s="8">
        <f>AVERAGE(C105:C118)</f>
        <v>4.1428571428571432</v>
      </c>
      <c r="K6" s="8">
        <f>AVERAGE(E105:E118)</f>
        <v>4.0714285714285712</v>
      </c>
      <c r="L6" t="str">
        <f>IF(AND(I6&gt;J6,I6&gt;K6),"DN",IF(AND(J6&gt;I6,J6&gt;K6),"IE",IF(AND(K6&gt;J6,K6&gt;I6),"SO","Tie")))</f>
        <v>DN</v>
      </c>
      <c r="M6" t="str">
        <f>IF(AND(I6&gt;J6,I6&gt;K6),
    IF(J6&gt;K6,"IE","SO"),
    IF(AND(J6&gt;I6,J6&gt;K6),
        IF(I6&gt;K6,"DN","SO"),
        IF(AND(K6&gt;J6,K6&gt;I6),
            IF(J6&gt;I6,"IE","DN"),
            "Tie")))</f>
        <v>IE</v>
      </c>
      <c r="N6" t="str">
        <f>IF(AND(I6&gt;J6,I6&gt;K6),
    IF(J6&gt;K6,"SO","IE"),
    IF(AND(J6&gt;I6,J6&gt;K6),
        IF(I6&gt;K6,"SO","DN"),
        IF(AND(K6&gt;J6,K6&gt;I6),
            IF(J6&gt;I6,"DN","IE"),
            "Tie")))</f>
        <v>SO</v>
      </c>
      <c r="Q6" s="11">
        <f t="shared" si="0"/>
        <v>0.75</v>
      </c>
      <c r="R6" s="11">
        <f t="shared" si="4"/>
        <v>0.52</v>
      </c>
      <c r="S6" s="11">
        <f t="shared" si="5"/>
        <v>1.2</v>
      </c>
      <c r="T6" s="11">
        <f>J6*Q6</f>
        <v>3.1071428571428577</v>
      </c>
      <c r="U6" s="11">
        <f>I6*R6</f>
        <v>3.342857142857143</v>
      </c>
      <c r="V6" s="11">
        <f>K6*S6</f>
        <v>4.8857142857142852</v>
      </c>
      <c r="W6" t="str">
        <f t="shared" si="1"/>
        <v>SO</v>
      </c>
      <c r="X6" t="str">
        <f t="shared" si="2"/>
        <v>DN</v>
      </c>
      <c r="Y6" t="str">
        <f t="shared" si="3"/>
        <v>IE</v>
      </c>
    </row>
    <row r="7" spans="1:30" x14ac:dyDescent="0.3">
      <c r="A7" s="2">
        <v>41</v>
      </c>
      <c r="B7" s="3">
        <v>45721</v>
      </c>
      <c r="C7" s="2">
        <v>6</v>
      </c>
      <c r="D7" s="2">
        <v>5</v>
      </c>
      <c r="E7" s="2">
        <v>4</v>
      </c>
      <c r="G7" s="6">
        <v>45726</v>
      </c>
      <c r="H7" s="18">
        <f>F127</f>
        <v>9</v>
      </c>
      <c r="I7" s="19">
        <f>AVERAGE(D119:D127)</f>
        <v>6</v>
      </c>
      <c r="J7" s="19">
        <f>AVERAGE(C119:C127)</f>
        <v>4</v>
      </c>
      <c r="K7" s="19">
        <f>AVERAGE(E119:E127)</f>
        <v>4.4444444444444446</v>
      </c>
      <c r="L7" s="18" t="str">
        <f>IF(AND(I7&gt;J7,I7&gt;K7),"DN",IF(AND(J7&gt;I7,J7&gt;K7),"IE",IF(AND(K7&gt;J7,K7&gt;I7),"SO","Tie")))</f>
        <v>DN</v>
      </c>
      <c r="M7" s="18" t="str">
        <f>IF(AND(I7&gt;J7,I7&gt;K7),
    IF(J7&gt;K7,"IE","SO"),
    IF(AND(J7&gt;I7,J7&gt;K7),
        IF(I7&gt;K7,"DN","SO"),
        IF(AND(K7&gt;J7,K7&gt;I7),
            IF(J7&gt;I7,"IE","DN"),
            "Tie")))</f>
        <v>SO</v>
      </c>
      <c r="N7" s="18" t="str">
        <f>IF(AND(I7&gt;J7,I7&gt;K7),
    IF(J7&gt;K7,"SO","IE"),
    IF(AND(J7&gt;I7,J7&gt;K7),
        IF(I7&gt;K7,"SO","DN"),
        IF(AND(K7&gt;J7,K7&gt;I7),
            IF(J7&gt;I7,"DN","IE"),
            "Tie")))</f>
        <v>IE</v>
      </c>
      <c r="P7" s="13"/>
      <c r="Q7" s="14">
        <f t="shared" si="0"/>
        <v>1</v>
      </c>
      <c r="R7" s="14">
        <f t="shared" si="4"/>
        <v>0.52</v>
      </c>
      <c r="S7" s="14">
        <f t="shared" si="5"/>
        <v>1</v>
      </c>
      <c r="T7" s="14">
        <f>J7*Q7</f>
        <v>4</v>
      </c>
      <c r="U7" s="14">
        <f>I7*R7</f>
        <v>3.12</v>
      </c>
      <c r="V7" s="14">
        <f>K7*S7</f>
        <v>4.4444444444444446</v>
      </c>
      <c r="W7" s="13" t="str">
        <f t="shared" si="1"/>
        <v>SO</v>
      </c>
      <c r="X7" s="13" t="str">
        <f t="shared" si="2"/>
        <v>IE</v>
      </c>
      <c r="Y7" s="13" t="str">
        <f t="shared" si="3"/>
        <v>DN</v>
      </c>
    </row>
    <row r="8" spans="1:30" x14ac:dyDescent="0.3">
      <c r="A8" s="2">
        <v>47</v>
      </c>
      <c r="B8" s="3">
        <v>45721</v>
      </c>
      <c r="C8" s="2">
        <v>7</v>
      </c>
      <c r="D8" s="2">
        <v>4</v>
      </c>
      <c r="E8" s="2">
        <v>5</v>
      </c>
      <c r="G8" s="6">
        <v>45727</v>
      </c>
      <c r="H8" s="18">
        <f>F134</f>
        <v>7</v>
      </c>
      <c r="I8" s="19">
        <f>AVERAGE(D128:D134)</f>
        <v>6.4285714285714288</v>
      </c>
      <c r="J8" s="19">
        <f>AVERAGE(C128:C134)</f>
        <v>4.4285714285714288</v>
      </c>
      <c r="K8" s="19">
        <f>AVERAGE(E128:E134)</f>
        <v>3.5714285714285716</v>
      </c>
      <c r="L8" s="18" t="str">
        <f>IF(AND(I8&gt;J8,I8&gt;K8),"DN",IF(AND(J8&gt;I8,J8&gt;K8),"IE",IF(AND(K8&gt;J8,K8&gt;I8),"SO","Tie")))</f>
        <v>DN</v>
      </c>
      <c r="M8" s="18" t="str">
        <f>IF(AND(I8&gt;J8,I8&gt;K8),
    IF(J8&gt;K8,"IE","SO"),
    IF(AND(J8&gt;I8,J8&gt;K8),
        IF(I8&gt;K8,"DN","SO"),
        IF(AND(K8&gt;J8,K8&gt;I8),
            IF(J8&gt;I8,"IE","DN"),
            "Tie")))</f>
        <v>IE</v>
      </c>
      <c r="N8" s="18" t="str">
        <f>IF(AND(I8&gt;J8,I8&gt;K8),
    IF(J8&gt;K8,"SO","IE"),
    IF(AND(J8&gt;I8,J8&gt;K8),
        IF(I8&gt;K8,"SO","DN"),
        IF(AND(K8&gt;J8,K8&gt;I8),
            IF(J8&gt;I8,"DN","IE"),
            "Tie")))</f>
        <v>SO</v>
      </c>
      <c r="P8" s="13"/>
      <c r="Q8" s="14">
        <f t="shared" si="0"/>
        <v>1</v>
      </c>
      <c r="R8" s="14">
        <f t="shared" si="4"/>
        <v>0.52</v>
      </c>
      <c r="S8" s="14">
        <f t="shared" si="5"/>
        <v>1</v>
      </c>
      <c r="T8" s="14">
        <f>J8*Q8</f>
        <v>4.4285714285714288</v>
      </c>
      <c r="U8" s="14">
        <f>I8*R8</f>
        <v>3.342857142857143</v>
      </c>
      <c r="V8" s="14">
        <f>K8*S8</f>
        <v>3.5714285714285716</v>
      </c>
      <c r="W8" s="13" t="str">
        <f t="shared" si="1"/>
        <v>IE</v>
      </c>
      <c r="X8" s="13" t="str">
        <f t="shared" si="2"/>
        <v>SO</v>
      </c>
      <c r="Y8" s="13" t="str">
        <f t="shared" si="3"/>
        <v>DN</v>
      </c>
    </row>
    <row r="9" spans="1:30" x14ac:dyDescent="0.3">
      <c r="A9" s="2">
        <v>55</v>
      </c>
      <c r="B9" s="3">
        <v>45721</v>
      </c>
      <c r="C9" s="2">
        <v>2</v>
      </c>
      <c r="D9" s="2">
        <v>9</v>
      </c>
      <c r="E9" s="2">
        <v>3</v>
      </c>
      <c r="G9" s="6">
        <v>45728</v>
      </c>
      <c r="H9" s="18">
        <f>F150</f>
        <v>16</v>
      </c>
      <c r="I9" s="19">
        <f>AVERAGE(D135:D150)</f>
        <v>6.0625</v>
      </c>
      <c r="J9" s="19">
        <f>AVERAGE(C135:C150)</f>
        <v>4.125</v>
      </c>
      <c r="K9" s="19">
        <f>AVERAGE(E135:E150)</f>
        <v>4.125</v>
      </c>
      <c r="L9" s="18" t="str">
        <f>IF(AND(I9&gt;J9,I9&gt;K9),"DN",IF(AND(J9&gt;I9,J9&gt;K9),"IE",IF(AND(K9&gt;J9,K9&gt;I9),"SO","Tie")))</f>
        <v>DN</v>
      </c>
      <c r="M9" s="18" t="str">
        <f>IF(AND(I9&gt;J9,I9&gt;K9),
    IF(J9&gt;K9,"IE","SO"),
    IF(AND(J9&gt;I9,J9&gt;K9),
        IF(I9&gt;K9,"DN","SO"),
        IF(AND(K9&gt;J9,K9&gt;I9),
            IF(J9&gt;I9,"IE","DN"),
            "Tie")))</f>
        <v>SO</v>
      </c>
      <c r="N9" s="18" t="str">
        <f>IF(AND(I9&gt;J9,I9&gt;K9),
    IF(J9&gt;K9,"SO","IE"),
    IF(AND(J9&gt;I9,J9&gt;K9),
        IF(I9&gt;K9,"SO","DN"),
        IF(AND(K9&gt;J9,K9&gt;I9),
            IF(J9&gt;I9,"DN","IE"),
            "Tie")))</f>
        <v>IE</v>
      </c>
      <c r="Q9" s="11">
        <f t="shared" si="0"/>
        <v>0.75</v>
      </c>
      <c r="R9" s="11">
        <f t="shared" si="4"/>
        <v>0.52</v>
      </c>
      <c r="S9" s="11">
        <f t="shared" si="5"/>
        <v>1.2</v>
      </c>
      <c r="T9" s="11">
        <f>J9*Q9</f>
        <v>3.09375</v>
      </c>
      <c r="U9" s="11">
        <f>I9*R9</f>
        <v>3.1525000000000003</v>
      </c>
      <c r="V9" s="11">
        <f>K9*S9</f>
        <v>4.95</v>
      </c>
      <c r="W9" t="str">
        <f t="shared" si="1"/>
        <v>SO</v>
      </c>
      <c r="X9" t="str">
        <f t="shared" si="2"/>
        <v>DN</v>
      </c>
      <c r="Y9" t="str">
        <f t="shared" si="3"/>
        <v>IE</v>
      </c>
    </row>
    <row r="10" spans="1:30" x14ac:dyDescent="0.3">
      <c r="A10" s="2">
        <v>56</v>
      </c>
      <c r="B10" s="3">
        <v>45721</v>
      </c>
      <c r="C10" s="2">
        <v>2</v>
      </c>
      <c r="D10" s="2">
        <v>8</v>
      </c>
      <c r="E10" s="2">
        <v>2</v>
      </c>
      <c r="G10" s="6">
        <v>45729</v>
      </c>
      <c r="H10" s="18">
        <f>F158</f>
        <v>8</v>
      </c>
      <c r="I10" s="19">
        <f>AVERAGE(D151:D158)</f>
        <v>6.25</v>
      </c>
      <c r="J10" s="19">
        <f>AVERAGE(C151:C158)</f>
        <v>5.875</v>
      </c>
      <c r="K10" s="19">
        <f>AVERAGE(E151:E158)</f>
        <v>2.5</v>
      </c>
      <c r="L10" s="18" t="str">
        <f>IF(AND(I10&gt;J10,I10&gt;K10),"DN",IF(AND(J10&gt;I10,J10&gt;K10),"IE",IF(AND(K10&gt;J10,K10&gt;I10),"SO","Tie")))</f>
        <v>DN</v>
      </c>
      <c r="M10" s="18" t="str">
        <f>IF(AND(I10&gt;J10,I10&gt;K10),
    IF(J10&gt;K10,"IE","SO"),
    IF(AND(J10&gt;I10,J10&gt;K10),
        IF(I10&gt;K10,"DN","SO"),
        IF(AND(K10&gt;J10,K10&gt;I10),
            IF(J10&gt;I10,"IE","DN"),
            "Tie")))</f>
        <v>IE</v>
      </c>
      <c r="N10" s="18" t="str">
        <f>IF(AND(I10&gt;J10,I10&gt;K10),
    IF(J10&gt;K10,"SO","IE"),
    IF(AND(J10&gt;I10,J10&gt;K10),
        IF(I10&gt;K10,"SO","DN"),
        IF(AND(K10&gt;J10,K10&gt;I10),
            IF(J10&gt;I10,"DN","IE"),
            "Tie")))</f>
        <v>SO</v>
      </c>
      <c r="P10" s="13"/>
      <c r="Q10" s="14">
        <f t="shared" si="0"/>
        <v>1</v>
      </c>
      <c r="R10" s="14">
        <f t="shared" si="4"/>
        <v>0.52</v>
      </c>
      <c r="S10" s="14">
        <f t="shared" si="5"/>
        <v>1</v>
      </c>
      <c r="T10" s="14">
        <f>J10*Q10</f>
        <v>5.875</v>
      </c>
      <c r="U10" s="14">
        <f>I10*R10</f>
        <v>3.25</v>
      </c>
      <c r="V10" s="14">
        <f>K10*S10</f>
        <v>2.5</v>
      </c>
      <c r="W10" s="13" t="str">
        <f t="shared" si="1"/>
        <v>IE</v>
      </c>
      <c r="X10" s="13" t="str">
        <f t="shared" si="2"/>
        <v>DN</v>
      </c>
      <c r="Y10" s="13" t="str">
        <f t="shared" si="3"/>
        <v>SO</v>
      </c>
    </row>
    <row r="11" spans="1:30" x14ac:dyDescent="0.3">
      <c r="A11" s="2">
        <v>69</v>
      </c>
      <c r="B11" s="3">
        <v>45721</v>
      </c>
      <c r="C11" s="2">
        <v>8</v>
      </c>
      <c r="D11" s="2">
        <v>3</v>
      </c>
      <c r="E11" s="2">
        <v>3</v>
      </c>
      <c r="G11" s="6">
        <v>45730</v>
      </c>
      <c r="H11" s="18">
        <f>F165</f>
        <v>7</v>
      </c>
      <c r="I11" s="19">
        <f>AVERAGE(D159:D165)</f>
        <v>6.2857142857142856</v>
      </c>
      <c r="J11" s="19">
        <f>AVERAGE(C159:C165)</f>
        <v>3.5714285714285716</v>
      </c>
      <c r="K11" s="19">
        <f>AVERAGE(E159:E165)</f>
        <v>5</v>
      </c>
      <c r="L11" s="18" t="str">
        <f>IF(AND(I11&gt;J11,I11&gt;K11),"DN",IF(AND(J11&gt;I11,J11&gt;K11),"IE",IF(AND(K11&gt;J11,K11&gt;I11),"SO","Tie")))</f>
        <v>DN</v>
      </c>
      <c r="M11" s="18" t="str">
        <f>IF(AND(I11&gt;J11,I11&gt;K11),
    IF(J11&gt;K11,"IE","SO"),
    IF(AND(J11&gt;I11,J11&gt;K11),
        IF(I11&gt;K11,"DN","SO"),
        IF(AND(K11&gt;J11,K11&gt;I11),
            IF(J11&gt;I11,"IE","DN"),
            "Tie")))</f>
        <v>SO</v>
      </c>
      <c r="N11" s="18" t="str">
        <f>IF(AND(I11&gt;J11,I11&gt;K11),
    IF(J11&gt;K11,"SO","IE"),
    IF(AND(J11&gt;I11,J11&gt;K11),
        IF(I11&gt;K11,"SO","DN"),
        IF(AND(K11&gt;J11,K11&gt;I11),
            IF(J11&gt;I11,"DN","IE"),
            "Tie")))</f>
        <v>IE</v>
      </c>
      <c r="P11" s="13"/>
      <c r="Q11" s="14">
        <f t="shared" si="0"/>
        <v>0.75</v>
      </c>
      <c r="R11" s="14">
        <f t="shared" si="4"/>
        <v>0.52</v>
      </c>
      <c r="S11" s="14">
        <f t="shared" si="5"/>
        <v>1.2</v>
      </c>
      <c r="T11" s="14">
        <f>J11*Q11</f>
        <v>2.6785714285714288</v>
      </c>
      <c r="U11" s="14">
        <f>I11*R11</f>
        <v>3.2685714285714287</v>
      </c>
      <c r="V11" s="14">
        <f>K11*S11</f>
        <v>6</v>
      </c>
      <c r="W11" s="13" t="str">
        <f t="shared" si="1"/>
        <v>SO</v>
      </c>
      <c r="X11" s="13" t="str">
        <f t="shared" si="2"/>
        <v>DN</v>
      </c>
      <c r="Y11" s="13" t="str">
        <f t="shared" si="3"/>
        <v>IE</v>
      </c>
    </row>
    <row r="12" spans="1:30" x14ac:dyDescent="0.3">
      <c r="A12" s="2">
        <v>73</v>
      </c>
      <c r="B12" s="3">
        <v>45721</v>
      </c>
      <c r="C12" s="2">
        <v>5</v>
      </c>
      <c r="D12" s="2">
        <v>6</v>
      </c>
      <c r="E12" s="2">
        <v>4</v>
      </c>
      <c r="G12" s="6">
        <v>45731</v>
      </c>
      <c r="H12" s="18">
        <f>F178</f>
        <v>13</v>
      </c>
      <c r="I12" s="19">
        <f>AVERAGE(D166:D178)</f>
        <v>5.5384615384615383</v>
      </c>
      <c r="J12" s="19">
        <f>AVERAGE(C166:C178)</f>
        <v>5.615384615384615</v>
      </c>
      <c r="K12" s="19">
        <f>AVERAGE(E166:E178)</f>
        <v>3.3846153846153846</v>
      </c>
      <c r="L12" s="18" t="str">
        <f>IF(AND(I12&gt;J12,I12&gt;K12),"DN",IF(AND(J12&gt;I12,J12&gt;K12),"IE",IF(AND(K12&gt;J12,K12&gt;I12),"SO","Tie")))</f>
        <v>IE</v>
      </c>
      <c r="M12" s="18" t="str">
        <f>IF(AND(I12&gt;J12,I12&gt;K12),
    IF(J12&gt;K12,"IE","SO"),
    IF(AND(J12&gt;I12,J12&gt;K12),
        IF(I12&gt;K12,"DN","SO"),
        IF(AND(K12&gt;J12,K12&gt;I12),
            IF(J12&gt;I12,"IE","DN"),
            "Tie")))</f>
        <v>DN</v>
      </c>
      <c r="N12" s="18" t="str">
        <f>IF(AND(I12&gt;J12,I12&gt;K12),
    IF(J12&gt;K12,"SO","IE"),
    IF(AND(J12&gt;I12,J12&gt;K12),
        IF(I12&gt;K12,"SO","DN"),
        IF(AND(K12&gt;J12,K12&gt;I12),
            IF(J12&gt;I12,"DN","IE"),
            "Tie")))</f>
        <v>SO</v>
      </c>
      <c r="Q12" s="11">
        <f t="shared" si="0"/>
        <v>1</v>
      </c>
      <c r="R12" s="11">
        <f t="shared" si="4"/>
        <v>0.52</v>
      </c>
      <c r="S12" s="11">
        <f t="shared" si="5"/>
        <v>1</v>
      </c>
      <c r="T12" s="11">
        <f>J12*Q12</f>
        <v>5.615384615384615</v>
      </c>
      <c r="U12" s="11">
        <f>I12*R12</f>
        <v>2.88</v>
      </c>
      <c r="V12" s="11">
        <f>K12*S12</f>
        <v>3.3846153846153846</v>
      </c>
      <c r="W12" t="str">
        <f t="shared" si="1"/>
        <v>IE</v>
      </c>
      <c r="X12" t="str">
        <f t="shared" si="2"/>
        <v>SO</v>
      </c>
      <c r="Y12" t="str">
        <f t="shared" si="3"/>
        <v>DN</v>
      </c>
    </row>
    <row r="13" spans="1:30" x14ac:dyDescent="0.3">
      <c r="A13" s="2">
        <v>74</v>
      </c>
      <c r="B13" s="3">
        <v>45721</v>
      </c>
      <c r="C13" s="2">
        <v>6</v>
      </c>
      <c r="D13" s="2">
        <v>6</v>
      </c>
      <c r="E13" s="2">
        <v>2</v>
      </c>
      <c r="G13" s="6">
        <v>45732</v>
      </c>
      <c r="H13">
        <f>F189</f>
        <v>11</v>
      </c>
      <c r="I13" s="8">
        <f>AVERAGE(D179:D189)</f>
        <v>6.3636363636363633</v>
      </c>
      <c r="J13" s="8">
        <f>AVERAGE(C179:C189)</f>
        <v>4.3636363636363633</v>
      </c>
      <c r="K13" s="8">
        <f>AVERAGE(E179:E189)</f>
        <v>3.6363636363636362</v>
      </c>
      <c r="L13" t="str">
        <f>IF(AND(I13&gt;J13,I13&gt;K13),"DN",IF(AND(J13&gt;I13,J13&gt;K13),"IE",IF(AND(K13&gt;J13,K13&gt;I13),"SO","Tie")))</f>
        <v>DN</v>
      </c>
      <c r="M13" t="str">
        <f>IF(AND(I13&gt;J13,I13&gt;K13),
    IF(J13&gt;K13,"IE","SO"),
    IF(AND(J13&gt;I13,J13&gt;K13),
        IF(I13&gt;K13,"DN","SO"),
        IF(AND(K13&gt;J13,K13&gt;I13),
            IF(J13&gt;I13,"IE","DN"),
            "Tie")))</f>
        <v>IE</v>
      </c>
      <c r="N13" t="str">
        <f>IF(AND(I13&gt;J13,I13&gt;K13),
    IF(J13&gt;K13,"SO","IE"),
    IF(AND(J13&gt;I13,J13&gt;K13),
        IF(I13&gt;K13,"SO","DN"),
        IF(AND(K13&gt;J13,K13&gt;I13),
            IF(J13&gt;I13,"DN","IE"),
            "Tie")))</f>
        <v>SO</v>
      </c>
      <c r="Q13" s="11">
        <f t="shared" si="0"/>
        <v>0.75</v>
      </c>
      <c r="R13" s="11">
        <f t="shared" si="4"/>
        <v>0.52</v>
      </c>
      <c r="S13" s="11">
        <f t="shared" si="5"/>
        <v>1.2</v>
      </c>
      <c r="T13" s="11">
        <f>J13*Q13</f>
        <v>3.2727272727272725</v>
      </c>
      <c r="U13" s="11">
        <f>I13*R13</f>
        <v>3.3090909090909091</v>
      </c>
      <c r="V13" s="11">
        <f>K13*S13</f>
        <v>4.3636363636363633</v>
      </c>
      <c r="W13" t="str">
        <f t="shared" si="1"/>
        <v>SO</v>
      </c>
      <c r="X13" t="str">
        <f t="shared" si="2"/>
        <v>DN</v>
      </c>
      <c r="Y13" t="str">
        <f t="shared" si="3"/>
        <v>IE</v>
      </c>
    </row>
    <row r="14" spans="1:30" x14ac:dyDescent="0.3">
      <c r="A14" s="2">
        <v>75</v>
      </c>
      <c r="B14" s="3">
        <v>45721</v>
      </c>
      <c r="C14" s="2">
        <v>7</v>
      </c>
      <c r="D14" s="2">
        <v>5</v>
      </c>
      <c r="E14" s="2">
        <v>1</v>
      </c>
      <c r="G14" s="10" t="s">
        <v>9</v>
      </c>
      <c r="H14" s="9">
        <f>SUM(H2:H13)</f>
        <v>188</v>
      </c>
      <c r="I14" s="12">
        <f>AVERAGE(I2:I13)</f>
        <v>6.0586340742590741</v>
      </c>
      <c r="J14" s="12">
        <f>AVERAGE(J2:J13)</f>
        <v>4.6896436896436891</v>
      </c>
      <c r="K14" s="12">
        <f>AVERAGE(K2:K13)</f>
        <v>3.6205796518296514</v>
      </c>
      <c r="L14" s="7"/>
      <c r="M14" s="7"/>
      <c r="N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30" x14ac:dyDescent="0.3">
      <c r="A15" s="2">
        <v>76</v>
      </c>
      <c r="B15" s="3">
        <v>45721</v>
      </c>
      <c r="C15" s="2">
        <v>2</v>
      </c>
      <c r="D15" s="2">
        <v>9</v>
      </c>
      <c r="E15" s="2">
        <v>3</v>
      </c>
      <c r="G15" s="1"/>
    </row>
    <row r="16" spans="1:30" x14ac:dyDescent="0.3">
      <c r="A16" s="2">
        <v>81</v>
      </c>
      <c r="B16" s="3">
        <v>45721</v>
      </c>
      <c r="C16" s="2">
        <v>4</v>
      </c>
      <c r="D16" s="2">
        <v>6</v>
      </c>
      <c r="E16" s="2">
        <v>5</v>
      </c>
      <c r="G16" s="1"/>
    </row>
    <row r="17" spans="1:30" x14ac:dyDescent="0.3">
      <c r="A17" s="2">
        <v>88</v>
      </c>
      <c r="B17" s="3">
        <v>45721</v>
      </c>
      <c r="C17" s="2">
        <v>3</v>
      </c>
      <c r="D17" s="2">
        <v>7</v>
      </c>
      <c r="E17" s="2">
        <v>5</v>
      </c>
      <c r="G17" s="11"/>
      <c r="H17" s="11"/>
      <c r="P17" s="15" t="s">
        <v>20</v>
      </c>
      <c r="Q17" s="10" t="s">
        <v>10</v>
      </c>
      <c r="R17" s="10" t="s">
        <v>11</v>
      </c>
      <c r="S17" s="10" t="s">
        <v>12</v>
      </c>
      <c r="T17" s="10" t="s">
        <v>13</v>
      </c>
      <c r="U17" s="10" t="s">
        <v>14</v>
      </c>
      <c r="V17" s="10" t="s">
        <v>15</v>
      </c>
      <c r="W17" s="10" t="s">
        <v>18</v>
      </c>
      <c r="X17" s="10" t="s">
        <v>16</v>
      </c>
      <c r="Y17" s="10" t="s">
        <v>17</v>
      </c>
    </row>
    <row r="18" spans="1:30" x14ac:dyDescent="0.3">
      <c r="A18" s="2">
        <v>91</v>
      </c>
      <c r="B18" s="3">
        <v>45721</v>
      </c>
      <c r="C18" s="2">
        <v>2</v>
      </c>
      <c r="D18" s="2">
        <v>7</v>
      </c>
      <c r="E18" s="2">
        <v>4</v>
      </c>
      <c r="G18" s="1"/>
      <c r="Q18" s="11">
        <v>1</v>
      </c>
      <c r="R18" s="11">
        <v>1</v>
      </c>
      <c r="S18" s="11">
        <v>1</v>
      </c>
      <c r="T18" s="11">
        <f>J2*Q18</f>
        <v>4.833333333333333</v>
      </c>
      <c r="U18" s="11">
        <f>I2*R18</f>
        <v>6.166666666666667</v>
      </c>
      <c r="V18" s="11">
        <f>K2*S18</f>
        <v>3.2777777777777777</v>
      </c>
      <c r="W18" t="str">
        <f>IF(AND(U18&gt;T18,U18&gt;V18),"DN",IF(AND(T18&gt;U18,T18&gt;V18),"IE",IF(AND(V18&gt;T18,V18&gt;U18),"SO","Tie")))</f>
        <v>DN</v>
      </c>
      <c r="X18" t="str">
        <f>IF(AND(U18&gt;T18,U18&gt;V18),
    IF(T18&gt;V18,"IE","SO"),
    IF(AND(T18&gt;U18,T18&gt;V18),
        IF(U18&gt;V18,"DN","SO"),
        IF(AND(V18&gt;T18,V18&gt;U18),
            IF(T18&gt;U18,"IE","DN"),
            "Tie")))</f>
        <v>IE</v>
      </c>
      <c r="Y18" t="str">
        <f>IF(AND(U18&gt;T18,U18&gt;V18),
    IF(T18&gt;V18,"SO","IE"),
    IF(AND(T18&gt;U18,T18&gt;V18),
        IF(U18&gt;V18,"SO","DN"),
        IF(AND(V18&gt;T18,V18&gt;U18),
            IF(T18&gt;U18,"DN","IE"),
            "Tie")))</f>
        <v>SO</v>
      </c>
      <c r="AA18" s="16" t="s">
        <v>3</v>
      </c>
      <c r="AB18" s="17">
        <f>(COUNTIF(W18:W29,"DN"))/COUNTA(Y18:Y29)</f>
        <v>0.25</v>
      </c>
      <c r="AC18" s="17">
        <f>(COUNTIF(X18:X29,"DN"))/COUNTA(X18:X29)</f>
        <v>0.58333333333333337</v>
      </c>
      <c r="AD18" s="17">
        <f>(COUNTIF(Y18:Y29,"DN"))/COUNTA(Y18:Y29)</f>
        <v>8.3333333333333329E-2</v>
      </c>
    </row>
    <row r="19" spans="1:30" x14ac:dyDescent="0.3">
      <c r="A19" s="2">
        <v>95</v>
      </c>
      <c r="B19" s="3">
        <v>45721</v>
      </c>
      <c r="C19" s="2">
        <v>5</v>
      </c>
      <c r="D19" s="2">
        <v>8</v>
      </c>
      <c r="E19" s="2">
        <v>2</v>
      </c>
      <c r="G19" s="1"/>
      <c r="Q19" s="11">
        <f>IF(W2="DN", 1.29, IF(W2="IE", 1.29, 1.29))</f>
        <v>1.29</v>
      </c>
      <c r="R19" s="11">
        <f>IF(W2="DN", 1, IF(W2="IE", 1, 1))</f>
        <v>1</v>
      </c>
      <c r="S19" s="11">
        <f>IF(W2="DN", 1.67, IF(W2="IE", 1.67, 1.67))</f>
        <v>1.67</v>
      </c>
      <c r="T19" s="11">
        <f>J3*Q19</f>
        <v>6.6484615384615386</v>
      </c>
      <c r="U19" s="11">
        <f>I3*R19</f>
        <v>5.8461538461538458</v>
      </c>
      <c r="V19" s="11">
        <f>K3*S19</f>
        <v>5.4596153846153843</v>
      </c>
      <c r="W19" t="str">
        <f t="shared" ref="V19:W29" si="7">IF(AND(U19&gt;T19,U19&gt;V19),"DN",IF(AND(T19&gt;U19,T19&gt;V19),"IE",IF(AND(V19&gt;T19,V19&gt;U19),"SO","Tie")))</f>
        <v>IE</v>
      </c>
      <c r="X19" t="str">
        <f>'[1]quiz_responses (2)'!$V$2</f>
        <v>IE</v>
      </c>
      <c r="Y19" t="str">
        <f t="shared" ref="X19:Y29" si="8">IF(AND(U19&gt;T19,U19&gt;V19),
    IF(T19&gt;V19,"SO","IE"),
    IF(AND(T19&gt;U19,T19&gt;V19),
        IF(U19&gt;V19,"SO","DN"),
        IF(AND(V19&gt;T19,V19&gt;U19),
            IF(T19&gt;U19,"DN","IE"),
            "Tie")))</f>
        <v>SO</v>
      </c>
      <c r="AA19" s="16" t="s">
        <v>2</v>
      </c>
      <c r="AB19" s="17">
        <f>(COUNTIF(W18:W29,"IE"))/COUNTA(W18:W29)</f>
        <v>0.41666666666666669</v>
      </c>
      <c r="AC19" s="17">
        <f>(COUNTIF(X18:X29,"IE"))/COUNTA(X18:X29)</f>
        <v>0.16666666666666666</v>
      </c>
      <c r="AD19" s="17">
        <f>(COUNTIF(Y18:Y29,"IE"))/COUNTA(Y18:Y29)</f>
        <v>0.5</v>
      </c>
    </row>
    <row r="20" spans="1:30" x14ac:dyDescent="0.3">
      <c r="A20" s="2">
        <v>97</v>
      </c>
      <c r="B20" s="3">
        <v>45721</v>
      </c>
      <c r="C20" s="2">
        <v>9</v>
      </c>
      <c r="D20" s="2">
        <v>3</v>
      </c>
      <c r="E20" s="2">
        <v>2</v>
      </c>
      <c r="G20" s="1"/>
      <c r="Q20" s="11">
        <f t="shared" ref="Q20:Q28" si="9">IF(W3="DN", 1.29, IF(W3="IE", 1.29, 1.29))</f>
        <v>1.29</v>
      </c>
      <c r="R20" s="11">
        <f t="shared" ref="R20:R28" si="10">IF(W3="DN", 1, IF(W3="IE", 1, 1))</f>
        <v>1</v>
      </c>
      <c r="S20" s="11">
        <f t="shared" ref="S20:S28" si="11">IF(W3="DN", 1.67, IF(W3="IE", 1.67, 1.67))</f>
        <v>1.67</v>
      </c>
      <c r="T20" s="11">
        <f>J4*Q20</f>
        <v>6.5575000000000001</v>
      </c>
      <c r="U20" s="11">
        <f>I4*R20</f>
        <v>5.666666666666667</v>
      </c>
      <c r="V20" s="11">
        <f>K4*S20</f>
        <v>5.1491666666666669</v>
      </c>
      <c r="W20" t="str">
        <f t="shared" si="7"/>
        <v>IE</v>
      </c>
      <c r="X20" t="str">
        <f t="shared" ref="W20:X29" si="12">IF(AND(U20&gt;T20,U20&gt;V20),
    IF(T20&gt;V20,"IE","SO"),
    IF(AND(T20&gt;U20,T20&gt;V20),
        IF(U20&gt;V20,"DN","SO"),
        IF(AND(V20&gt;T20,V20&gt;U20),
            IF(T20&gt;U20,"IE","DN"),
            "Tie")))</f>
        <v>DN</v>
      </c>
      <c r="Y20" t="str">
        <f t="shared" si="8"/>
        <v>SO</v>
      </c>
      <c r="AA20" s="16" t="s">
        <v>4</v>
      </c>
      <c r="AB20" s="17">
        <f>(COUNTIF(W18:W29,"SO"))/COUNTA(W18:W29)</f>
        <v>0.33333333333333331</v>
      </c>
      <c r="AC20" s="17">
        <f>(COUNTIF(X18:X29,"SO"))/COUNTA(X18:X29)</f>
        <v>0.25</v>
      </c>
      <c r="AD20" s="17">
        <f>(COUNTIF(Y18:Y29,"SO"))/COUNTA(Y18:Y29)</f>
        <v>0.41666666666666669</v>
      </c>
    </row>
    <row r="21" spans="1:30" x14ac:dyDescent="0.3">
      <c r="A21" s="2">
        <v>100</v>
      </c>
      <c r="B21" s="3">
        <v>45721</v>
      </c>
      <c r="C21" s="2">
        <v>3</v>
      </c>
      <c r="D21" s="2">
        <v>10</v>
      </c>
      <c r="E21" s="2">
        <v>1</v>
      </c>
      <c r="G21" s="1"/>
      <c r="Q21" s="11">
        <f t="shared" si="9"/>
        <v>1.29</v>
      </c>
      <c r="R21" s="11">
        <f t="shared" si="10"/>
        <v>1</v>
      </c>
      <c r="S21" s="11">
        <f t="shared" si="11"/>
        <v>1.67</v>
      </c>
      <c r="T21" s="11">
        <f>J5*Q21</f>
        <v>6.5575000000000001</v>
      </c>
      <c r="U21" s="11">
        <f>I5*R21</f>
        <v>5.666666666666667</v>
      </c>
      <c r="V21" s="11">
        <f>K5*S21</f>
        <v>5.1491666666666669</v>
      </c>
      <c r="W21" t="str">
        <f t="shared" si="7"/>
        <v>IE</v>
      </c>
      <c r="X21" t="str">
        <f t="shared" si="12"/>
        <v>DN</v>
      </c>
      <c r="Y21" t="str">
        <f t="shared" si="8"/>
        <v>SO</v>
      </c>
    </row>
    <row r="22" spans="1:30" x14ac:dyDescent="0.3">
      <c r="A22" s="2">
        <v>104</v>
      </c>
      <c r="B22" s="3">
        <v>45721</v>
      </c>
      <c r="C22" s="2">
        <v>4</v>
      </c>
      <c r="D22" s="2">
        <v>7</v>
      </c>
      <c r="E22" s="2">
        <v>3</v>
      </c>
      <c r="G22" s="1"/>
      <c r="Q22" s="11">
        <f t="shared" si="9"/>
        <v>1.29</v>
      </c>
      <c r="R22" s="11">
        <f t="shared" si="10"/>
        <v>1</v>
      </c>
      <c r="S22" s="11">
        <f t="shared" si="11"/>
        <v>1.67</v>
      </c>
      <c r="T22" s="11">
        <f>J6*Q22</f>
        <v>5.3442857142857152</v>
      </c>
      <c r="U22" s="11">
        <f>I6*R22</f>
        <v>6.4285714285714288</v>
      </c>
      <c r="V22" s="11">
        <f>K6*S22</f>
        <v>6.7992857142857135</v>
      </c>
      <c r="W22" t="str">
        <f t="shared" si="7"/>
        <v>SO</v>
      </c>
      <c r="X22" t="str">
        <f t="shared" si="12"/>
        <v>DN</v>
      </c>
      <c r="Y22" t="str">
        <f t="shared" si="8"/>
        <v>IE</v>
      </c>
    </row>
    <row r="23" spans="1:30" x14ac:dyDescent="0.3">
      <c r="A23" s="2">
        <v>116</v>
      </c>
      <c r="B23" s="3">
        <v>45721</v>
      </c>
      <c r="C23" s="2">
        <v>6</v>
      </c>
      <c r="D23" s="2">
        <v>6</v>
      </c>
      <c r="E23" s="2">
        <v>2</v>
      </c>
      <c r="G23" s="1"/>
      <c r="Q23" s="11">
        <f t="shared" si="9"/>
        <v>1.29</v>
      </c>
      <c r="R23" s="11">
        <f t="shared" si="10"/>
        <v>1</v>
      </c>
      <c r="S23" s="11">
        <f t="shared" si="11"/>
        <v>1.67</v>
      </c>
      <c r="T23" s="11">
        <f>J7*Q23</f>
        <v>5.16</v>
      </c>
      <c r="U23" s="11">
        <f>I7*R23</f>
        <v>6</v>
      </c>
      <c r="V23" s="11">
        <f>K7*S23</f>
        <v>7.4222222222222225</v>
      </c>
      <c r="W23" t="str">
        <f t="shared" si="7"/>
        <v>SO</v>
      </c>
      <c r="X23" t="str">
        <f t="shared" si="12"/>
        <v>DN</v>
      </c>
      <c r="Y23" t="str">
        <f t="shared" si="8"/>
        <v>IE</v>
      </c>
    </row>
    <row r="24" spans="1:30" x14ac:dyDescent="0.3">
      <c r="A24" s="2">
        <v>119</v>
      </c>
      <c r="B24" s="3">
        <v>45721</v>
      </c>
      <c r="C24" s="2">
        <v>3</v>
      </c>
      <c r="D24" s="2">
        <v>8</v>
      </c>
      <c r="E24" s="2">
        <v>2</v>
      </c>
      <c r="G24" s="1"/>
      <c r="Q24" s="11">
        <f t="shared" si="9"/>
        <v>1.29</v>
      </c>
      <c r="R24" s="11">
        <f t="shared" si="10"/>
        <v>1</v>
      </c>
      <c r="S24" s="11">
        <f t="shared" si="11"/>
        <v>1.67</v>
      </c>
      <c r="T24" s="11">
        <f>J8*Q24</f>
        <v>5.7128571428571435</v>
      </c>
      <c r="U24" s="11">
        <f>I8*R24</f>
        <v>6.4285714285714288</v>
      </c>
      <c r="V24" s="11">
        <f>K8*S24</f>
        <v>5.9642857142857144</v>
      </c>
      <c r="W24" t="str">
        <f t="shared" si="7"/>
        <v>DN</v>
      </c>
      <c r="X24" t="str">
        <f t="shared" si="12"/>
        <v>SO</v>
      </c>
      <c r="Y24" t="str">
        <f t="shared" si="8"/>
        <v>IE</v>
      </c>
    </row>
    <row r="25" spans="1:30" x14ac:dyDescent="0.3">
      <c r="A25" s="2">
        <v>120</v>
      </c>
      <c r="B25" s="3">
        <v>45721</v>
      </c>
      <c r="C25" s="2">
        <v>6</v>
      </c>
      <c r="D25" s="2">
        <v>6</v>
      </c>
      <c r="E25" s="2">
        <v>2</v>
      </c>
      <c r="G25" s="1"/>
      <c r="Q25" s="11">
        <f t="shared" si="9"/>
        <v>1.29</v>
      </c>
      <c r="R25" s="11">
        <f t="shared" si="10"/>
        <v>1</v>
      </c>
      <c r="S25" s="11">
        <f t="shared" si="11"/>
        <v>1.67</v>
      </c>
      <c r="T25" s="11">
        <f>J9*Q25</f>
        <v>5.32125</v>
      </c>
      <c r="U25" s="11">
        <f>I9*R25</f>
        <v>6.0625</v>
      </c>
      <c r="V25" s="11">
        <f>K9*S25</f>
        <v>6.8887499999999999</v>
      </c>
      <c r="W25" t="str">
        <f t="shared" si="7"/>
        <v>SO</v>
      </c>
      <c r="X25" t="str">
        <f t="shared" si="12"/>
        <v>DN</v>
      </c>
      <c r="Y25" t="str">
        <f t="shared" si="8"/>
        <v>IE</v>
      </c>
    </row>
    <row r="26" spans="1:30" x14ac:dyDescent="0.3">
      <c r="A26" s="2">
        <v>123</v>
      </c>
      <c r="B26" s="3">
        <v>45721</v>
      </c>
      <c r="C26" s="2">
        <v>5</v>
      </c>
      <c r="D26" s="2">
        <v>7</v>
      </c>
      <c r="E26" s="2">
        <v>4</v>
      </c>
      <c r="G26" s="1"/>
      <c r="Q26" s="11">
        <f t="shared" si="9"/>
        <v>1.29</v>
      </c>
      <c r="R26" s="11">
        <f t="shared" si="10"/>
        <v>1</v>
      </c>
      <c r="S26" s="11">
        <f t="shared" si="11"/>
        <v>1.67</v>
      </c>
      <c r="T26" s="11">
        <f>J10*Q26</f>
        <v>7.5787500000000003</v>
      </c>
      <c r="U26" s="11">
        <f>I10*R26</f>
        <v>6.25</v>
      </c>
      <c r="V26" s="11">
        <f>K10*S26</f>
        <v>4.1749999999999998</v>
      </c>
      <c r="W26" t="str">
        <f t="shared" si="7"/>
        <v>IE</v>
      </c>
      <c r="X26" t="str">
        <f t="shared" si="12"/>
        <v>DN</v>
      </c>
      <c r="Y26" t="str">
        <f t="shared" si="8"/>
        <v>SO</v>
      </c>
    </row>
    <row r="27" spans="1:30" x14ac:dyDescent="0.3">
      <c r="A27" s="2">
        <v>126</v>
      </c>
      <c r="B27" s="3">
        <v>45721</v>
      </c>
      <c r="C27" s="2">
        <v>2</v>
      </c>
      <c r="D27" s="2">
        <v>6</v>
      </c>
      <c r="E27" s="2">
        <v>5</v>
      </c>
      <c r="G27" s="1"/>
      <c r="Q27" s="11">
        <f t="shared" si="9"/>
        <v>1.29</v>
      </c>
      <c r="R27" s="11">
        <f t="shared" si="10"/>
        <v>1</v>
      </c>
      <c r="S27" s="11">
        <f t="shared" si="11"/>
        <v>1.67</v>
      </c>
      <c r="T27" s="11">
        <f>J11*Q27</f>
        <v>4.6071428571428577</v>
      </c>
      <c r="U27" s="11">
        <f>I11*R27</f>
        <v>6.2857142857142856</v>
      </c>
      <c r="V27" s="11">
        <f>K11*S27</f>
        <v>8.35</v>
      </c>
      <c r="W27" t="str">
        <f t="shared" si="7"/>
        <v>SO</v>
      </c>
      <c r="X27" t="str">
        <f t="shared" si="12"/>
        <v>DN</v>
      </c>
      <c r="Y27" t="str">
        <f t="shared" si="8"/>
        <v>IE</v>
      </c>
    </row>
    <row r="28" spans="1:30" x14ac:dyDescent="0.3">
      <c r="A28" s="2">
        <v>127</v>
      </c>
      <c r="B28" s="3">
        <v>45721</v>
      </c>
      <c r="C28" s="2">
        <v>5</v>
      </c>
      <c r="D28" s="2">
        <v>4</v>
      </c>
      <c r="E28" s="2">
        <v>5</v>
      </c>
      <c r="G28" s="1"/>
      <c r="O28" t="s">
        <v>21</v>
      </c>
      <c r="Q28" s="11">
        <f t="shared" si="9"/>
        <v>1.29</v>
      </c>
      <c r="R28" s="11">
        <f t="shared" si="10"/>
        <v>1</v>
      </c>
      <c r="S28" s="11">
        <f t="shared" si="11"/>
        <v>1.67</v>
      </c>
      <c r="T28" s="11">
        <f>J12*Q28</f>
        <v>7.2438461538461532</v>
      </c>
      <c r="U28" s="11">
        <f>I12*R28</f>
        <v>5.5384615384615383</v>
      </c>
      <c r="V28" s="11">
        <f>K12*S28</f>
        <v>5.6523076923076916</v>
      </c>
      <c r="W28" t="str">
        <f t="shared" si="7"/>
        <v>IE</v>
      </c>
      <c r="X28" t="str">
        <f t="shared" si="12"/>
        <v>SO</v>
      </c>
      <c r="Y28" t="str">
        <f t="shared" si="8"/>
        <v>DN</v>
      </c>
    </row>
    <row r="29" spans="1:30" x14ac:dyDescent="0.3">
      <c r="A29" s="2">
        <v>128</v>
      </c>
      <c r="B29" s="3">
        <v>45721</v>
      </c>
      <c r="C29" s="2">
        <v>4</v>
      </c>
      <c r="D29" s="2">
        <v>4</v>
      </c>
      <c r="E29" s="2">
        <v>6</v>
      </c>
      <c r="G29" s="1"/>
      <c r="Q29" s="11">
        <f>IF(W12="DN", 1.29, IF(W12="IE", 1.29, 1.29))</f>
        <v>1.29</v>
      </c>
      <c r="R29" s="11">
        <f>IF(W12="DN", 1, IF(W12="IE", 1, 1))</f>
        <v>1</v>
      </c>
      <c r="S29" s="11">
        <f>IF(W12="DN", 1.67, IF(W12="IE", 1.67, 1.67))</f>
        <v>1.67</v>
      </c>
      <c r="T29" s="11">
        <f>J13*Q29</f>
        <v>5.6290909090909089</v>
      </c>
      <c r="U29" s="11">
        <f>I13*R29</f>
        <v>6.3636363636363633</v>
      </c>
      <c r="V29" s="11">
        <f>K13*S29</f>
        <v>6.0727272727272723</v>
      </c>
      <c r="W29" t="str">
        <f>IF(AND(U29&gt;T29,U29&gt;V29),"DN",IF(AND(T29&gt;U29,T29&gt;V29),"IE",IF(AND(V29&gt;T29,V29&gt;U29),"SO","Tie")))</f>
        <v>DN</v>
      </c>
      <c r="X29" t="str">
        <f>IF(AND(U29&gt;T29,U29&gt;V29),
    IF(T29&gt;V29,"IE","SO"),
    IF(AND(T29&gt;U29,T29&gt;V29),
        IF(U29&gt;V29,"DN","SO"),
        IF(AND(V29&gt;T29,V29&gt;U29),
            IF(T29&gt;U29,"IE","DN"),
            "Tie")))</f>
        <v>SO</v>
      </c>
      <c r="Y29" t="str">
        <f>IF(AND(U29&gt;T29,U29&gt;V29),
    IF(T29&gt;V29,"SO","IE"),
    IF(AND(T29&gt;U29,T29&gt;V29),
        IF(U29&gt;V29,"SO","DN"),
        IF(AND(V29&gt;T29,V29&gt;U29),
            IF(T29&gt;U29,"DN","IE"),
            "Tie")))</f>
        <v>IE</v>
      </c>
    </row>
    <row r="30" spans="1:30" x14ac:dyDescent="0.3">
      <c r="A30" s="2">
        <v>136</v>
      </c>
      <c r="B30" s="3">
        <v>45721</v>
      </c>
      <c r="C30" s="2">
        <v>4</v>
      </c>
      <c r="D30" s="2">
        <v>6</v>
      </c>
      <c r="E30" s="2">
        <v>5</v>
      </c>
      <c r="G30" s="1"/>
    </row>
    <row r="31" spans="1:30" x14ac:dyDescent="0.3">
      <c r="A31" s="2">
        <v>140</v>
      </c>
      <c r="B31" s="3">
        <v>45721</v>
      </c>
      <c r="C31" s="2">
        <v>5</v>
      </c>
      <c r="D31" s="2">
        <v>6</v>
      </c>
      <c r="E31" s="2">
        <v>4</v>
      </c>
      <c r="G31" s="1"/>
    </row>
    <row r="32" spans="1:30" x14ac:dyDescent="0.3">
      <c r="A32" s="2">
        <v>163</v>
      </c>
      <c r="B32" s="3">
        <v>45721</v>
      </c>
      <c r="C32" s="2">
        <v>2</v>
      </c>
      <c r="D32" s="2">
        <v>8</v>
      </c>
      <c r="E32" s="2">
        <v>4</v>
      </c>
      <c r="G32" s="1"/>
    </row>
    <row r="33" spans="1:7" x14ac:dyDescent="0.3">
      <c r="A33" s="2">
        <v>165</v>
      </c>
      <c r="B33" s="3">
        <v>45721</v>
      </c>
      <c r="C33" s="2">
        <v>4</v>
      </c>
      <c r="D33" s="2">
        <v>8</v>
      </c>
      <c r="E33" s="2">
        <v>2</v>
      </c>
      <c r="G33" s="1"/>
    </row>
    <row r="34" spans="1:7" x14ac:dyDescent="0.3">
      <c r="A34" s="2">
        <v>167</v>
      </c>
      <c r="B34" s="3">
        <v>45721</v>
      </c>
      <c r="C34" s="2">
        <v>4</v>
      </c>
      <c r="D34" s="2">
        <v>7</v>
      </c>
      <c r="E34" s="2">
        <v>3</v>
      </c>
      <c r="G34" s="1"/>
    </row>
    <row r="35" spans="1:7" x14ac:dyDescent="0.3">
      <c r="A35" s="2">
        <v>181</v>
      </c>
      <c r="B35" s="3">
        <v>45721</v>
      </c>
      <c r="C35" s="2">
        <v>8</v>
      </c>
      <c r="D35" s="2">
        <v>6</v>
      </c>
      <c r="E35" s="2">
        <v>1</v>
      </c>
      <c r="G35" s="1"/>
    </row>
    <row r="36" spans="1:7" x14ac:dyDescent="0.3">
      <c r="A36" s="2">
        <v>190</v>
      </c>
      <c r="B36" s="3">
        <v>45721</v>
      </c>
      <c r="C36" s="2">
        <v>9</v>
      </c>
      <c r="D36" s="2">
        <v>3</v>
      </c>
      <c r="E36" s="2">
        <v>2</v>
      </c>
      <c r="G36" s="1"/>
    </row>
    <row r="37" spans="1:7" x14ac:dyDescent="0.3">
      <c r="A37" s="2">
        <v>191</v>
      </c>
      <c r="B37" s="3">
        <v>45721</v>
      </c>
      <c r="C37" s="2">
        <v>9</v>
      </c>
      <c r="D37" s="2">
        <v>3</v>
      </c>
      <c r="E37" s="2">
        <v>2</v>
      </c>
      <c r="F37">
        <f>COUNT(A2:A37)</f>
        <v>36</v>
      </c>
      <c r="G37" s="1"/>
    </row>
    <row r="38" spans="1:7" x14ac:dyDescent="0.3">
      <c r="A38" s="4">
        <v>12</v>
      </c>
      <c r="B38" s="5">
        <v>45722</v>
      </c>
      <c r="C38" s="4">
        <v>3</v>
      </c>
      <c r="D38" s="4">
        <v>4</v>
      </c>
      <c r="E38" s="4">
        <v>7</v>
      </c>
      <c r="G38" s="1"/>
    </row>
    <row r="39" spans="1:7" x14ac:dyDescent="0.3">
      <c r="A39" s="4">
        <v>13</v>
      </c>
      <c r="B39" s="5">
        <v>45722</v>
      </c>
      <c r="C39" s="4">
        <v>4</v>
      </c>
      <c r="D39" s="4">
        <v>7</v>
      </c>
      <c r="E39" s="4">
        <v>4</v>
      </c>
      <c r="G39" s="1"/>
    </row>
    <row r="40" spans="1:7" x14ac:dyDescent="0.3">
      <c r="A40" s="4">
        <v>20</v>
      </c>
      <c r="B40" s="5">
        <v>45722</v>
      </c>
      <c r="C40" s="4">
        <v>2</v>
      </c>
      <c r="D40" s="4">
        <v>9</v>
      </c>
      <c r="E40" s="4">
        <v>2</v>
      </c>
      <c r="G40" s="1"/>
    </row>
    <row r="41" spans="1:7" x14ac:dyDescent="0.3">
      <c r="A41" s="4">
        <v>23</v>
      </c>
      <c r="B41" s="5">
        <v>45722</v>
      </c>
      <c r="C41" s="4">
        <v>5</v>
      </c>
      <c r="D41" s="4">
        <v>9</v>
      </c>
      <c r="E41" s="4">
        <v>1</v>
      </c>
      <c r="G41" s="1"/>
    </row>
    <row r="42" spans="1:7" x14ac:dyDescent="0.3">
      <c r="A42" s="4">
        <v>24</v>
      </c>
      <c r="B42" s="5">
        <v>45722</v>
      </c>
      <c r="C42" s="4">
        <v>3</v>
      </c>
      <c r="D42" s="4">
        <v>9</v>
      </c>
      <c r="E42" s="4">
        <v>1</v>
      </c>
      <c r="G42" s="1"/>
    </row>
    <row r="43" spans="1:7" x14ac:dyDescent="0.3">
      <c r="A43" s="4">
        <v>25</v>
      </c>
      <c r="B43" s="5">
        <v>45722</v>
      </c>
      <c r="C43" s="4">
        <v>4</v>
      </c>
      <c r="D43" s="4">
        <v>7</v>
      </c>
      <c r="E43" s="4">
        <v>3</v>
      </c>
      <c r="G43" s="1"/>
    </row>
    <row r="44" spans="1:7" x14ac:dyDescent="0.3">
      <c r="A44" s="4">
        <v>32</v>
      </c>
      <c r="B44" s="5">
        <v>45722</v>
      </c>
      <c r="C44" s="4">
        <v>7</v>
      </c>
      <c r="D44" s="4">
        <v>6</v>
      </c>
      <c r="E44" s="4">
        <v>2</v>
      </c>
      <c r="G44" s="1"/>
    </row>
    <row r="45" spans="1:7" x14ac:dyDescent="0.3">
      <c r="A45" s="4">
        <v>43</v>
      </c>
      <c r="B45" s="5">
        <v>45722</v>
      </c>
      <c r="C45" s="4">
        <v>4</v>
      </c>
      <c r="D45" s="4">
        <v>8</v>
      </c>
      <c r="E45" s="4">
        <v>2</v>
      </c>
      <c r="G45" s="1"/>
    </row>
    <row r="46" spans="1:7" x14ac:dyDescent="0.3">
      <c r="A46" s="4">
        <v>44</v>
      </c>
      <c r="B46" s="5">
        <v>45722</v>
      </c>
      <c r="C46" s="4">
        <v>3</v>
      </c>
      <c r="D46" s="4">
        <v>6</v>
      </c>
      <c r="E46" s="4">
        <v>4</v>
      </c>
      <c r="G46" s="1"/>
    </row>
    <row r="47" spans="1:7" x14ac:dyDescent="0.3">
      <c r="A47" s="4">
        <v>46</v>
      </c>
      <c r="B47" s="5">
        <v>45722</v>
      </c>
      <c r="C47" s="4">
        <v>9</v>
      </c>
      <c r="D47" s="4">
        <v>3</v>
      </c>
      <c r="E47" s="4">
        <v>2</v>
      </c>
      <c r="G47" s="1"/>
    </row>
    <row r="48" spans="1:7" x14ac:dyDescent="0.3">
      <c r="A48" s="4">
        <v>52</v>
      </c>
      <c r="B48" s="5">
        <v>45722</v>
      </c>
      <c r="C48" s="4">
        <v>6</v>
      </c>
      <c r="D48" s="4">
        <v>5</v>
      </c>
      <c r="E48" s="4">
        <v>2</v>
      </c>
      <c r="G48" s="1"/>
    </row>
    <row r="49" spans="1:7" x14ac:dyDescent="0.3">
      <c r="A49" s="4">
        <v>86</v>
      </c>
      <c r="B49" s="5">
        <v>45722</v>
      </c>
      <c r="C49" s="4">
        <v>9</v>
      </c>
      <c r="D49" s="4">
        <v>3</v>
      </c>
      <c r="E49" s="4">
        <v>2</v>
      </c>
      <c r="G49" s="1"/>
    </row>
    <row r="50" spans="1:7" x14ac:dyDescent="0.3">
      <c r="A50" s="4">
        <v>89</v>
      </c>
      <c r="B50" s="5">
        <v>45722</v>
      </c>
      <c r="C50" s="4">
        <v>7</v>
      </c>
      <c r="D50" s="4">
        <v>2</v>
      </c>
      <c r="E50" s="4">
        <v>4</v>
      </c>
      <c r="G50" s="1"/>
    </row>
    <row r="51" spans="1:7" x14ac:dyDescent="0.3">
      <c r="A51" s="4">
        <v>101</v>
      </c>
      <c r="B51" s="5">
        <v>45722</v>
      </c>
      <c r="C51" s="4">
        <v>4</v>
      </c>
      <c r="D51" s="4">
        <v>8</v>
      </c>
      <c r="E51" s="4">
        <v>2</v>
      </c>
      <c r="G51" s="1"/>
    </row>
    <row r="52" spans="1:7" x14ac:dyDescent="0.3">
      <c r="A52" s="4">
        <v>107</v>
      </c>
      <c r="B52" s="5">
        <v>45722</v>
      </c>
      <c r="C52" s="4">
        <v>4</v>
      </c>
      <c r="D52" s="4">
        <v>4</v>
      </c>
      <c r="E52" s="4">
        <v>8</v>
      </c>
      <c r="G52" s="1"/>
    </row>
    <row r="53" spans="1:7" x14ac:dyDescent="0.3">
      <c r="A53" s="4">
        <v>133</v>
      </c>
      <c r="B53" s="5">
        <v>45722</v>
      </c>
      <c r="C53" s="4">
        <v>7</v>
      </c>
      <c r="D53" s="4">
        <v>4</v>
      </c>
      <c r="E53" s="4">
        <v>2</v>
      </c>
      <c r="G53" s="1"/>
    </row>
    <row r="54" spans="1:7" x14ac:dyDescent="0.3">
      <c r="A54" s="4">
        <v>135</v>
      </c>
      <c r="B54" s="5">
        <v>45722</v>
      </c>
      <c r="C54" s="4">
        <v>7</v>
      </c>
      <c r="D54" s="4">
        <v>4</v>
      </c>
      <c r="E54" s="4">
        <v>5</v>
      </c>
      <c r="G54" s="1"/>
    </row>
    <row r="55" spans="1:7" x14ac:dyDescent="0.3">
      <c r="A55" s="4">
        <v>137</v>
      </c>
      <c r="B55" s="5">
        <v>45722</v>
      </c>
      <c r="C55" s="4">
        <v>4</v>
      </c>
      <c r="D55" s="4">
        <v>6</v>
      </c>
      <c r="E55" s="4">
        <v>5</v>
      </c>
      <c r="G55" s="1"/>
    </row>
    <row r="56" spans="1:7" x14ac:dyDescent="0.3">
      <c r="A56" s="4">
        <v>138</v>
      </c>
      <c r="B56" s="5">
        <v>45722</v>
      </c>
      <c r="C56" s="4">
        <v>5</v>
      </c>
      <c r="D56" s="4">
        <v>3</v>
      </c>
      <c r="E56" s="4">
        <v>7</v>
      </c>
      <c r="G56" s="1"/>
    </row>
    <row r="57" spans="1:7" x14ac:dyDescent="0.3">
      <c r="A57" s="4">
        <v>141</v>
      </c>
      <c r="B57" s="5">
        <v>45722</v>
      </c>
      <c r="C57" s="4">
        <v>7</v>
      </c>
      <c r="D57" s="4">
        <v>4</v>
      </c>
      <c r="E57" s="4">
        <v>5</v>
      </c>
      <c r="G57" s="1"/>
    </row>
    <row r="58" spans="1:7" x14ac:dyDescent="0.3">
      <c r="A58" s="4">
        <v>146</v>
      </c>
      <c r="B58" s="5">
        <v>45722</v>
      </c>
      <c r="C58" s="4">
        <v>6</v>
      </c>
      <c r="D58" s="4">
        <v>6</v>
      </c>
      <c r="E58" s="4">
        <v>1</v>
      </c>
      <c r="G58" s="1"/>
    </row>
    <row r="59" spans="1:7" x14ac:dyDescent="0.3">
      <c r="A59" s="4">
        <v>149</v>
      </c>
      <c r="B59" s="5">
        <v>45722</v>
      </c>
      <c r="C59" s="4">
        <v>4</v>
      </c>
      <c r="D59" s="4">
        <v>8</v>
      </c>
      <c r="E59" s="4">
        <v>3</v>
      </c>
      <c r="G59" s="1"/>
    </row>
    <row r="60" spans="1:7" x14ac:dyDescent="0.3">
      <c r="A60" s="4">
        <v>164</v>
      </c>
      <c r="B60" s="5">
        <v>45722</v>
      </c>
      <c r="C60" s="4">
        <v>4</v>
      </c>
      <c r="D60" s="4">
        <v>8</v>
      </c>
      <c r="E60" s="4">
        <v>3</v>
      </c>
      <c r="G60" s="1"/>
    </row>
    <row r="61" spans="1:7" x14ac:dyDescent="0.3">
      <c r="A61" s="4">
        <v>185</v>
      </c>
      <c r="B61" s="5">
        <v>45722</v>
      </c>
      <c r="C61" s="4">
        <v>4</v>
      </c>
      <c r="D61" s="4">
        <v>7</v>
      </c>
      <c r="E61" s="4">
        <v>3</v>
      </c>
      <c r="G61" s="1"/>
    </row>
    <row r="62" spans="1:7" x14ac:dyDescent="0.3">
      <c r="A62" s="4">
        <v>186</v>
      </c>
      <c r="B62" s="5">
        <v>45722</v>
      </c>
      <c r="C62" s="4">
        <v>7</v>
      </c>
      <c r="D62" s="4">
        <v>6</v>
      </c>
      <c r="E62" s="4">
        <v>2</v>
      </c>
      <c r="G62" s="1"/>
    </row>
    <row r="63" spans="1:7" x14ac:dyDescent="0.3">
      <c r="A63" s="4">
        <v>188</v>
      </c>
      <c r="B63" s="5">
        <v>45722</v>
      </c>
      <c r="C63" s="4">
        <v>5</v>
      </c>
      <c r="D63" s="4">
        <v>6</v>
      </c>
      <c r="E63" s="4">
        <v>3</v>
      </c>
      <c r="F63">
        <f>COUNT(A38:A63)</f>
        <v>26</v>
      </c>
      <c r="G63" s="1"/>
    </row>
    <row r="64" spans="1:7" x14ac:dyDescent="0.3">
      <c r="A64" s="2">
        <v>21</v>
      </c>
      <c r="B64" s="3">
        <v>45723</v>
      </c>
      <c r="C64" s="2">
        <v>5</v>
      </c>
      <c r="D64" s="2">
        <v>5</v>
      </c>
      <c r="E64" s="2">
        <v>5</v>
      </c>
      <c r="G64" s="1"/>
    </row>
    <row r="65" spans="1:7" x14ac:dyDescent="0.3">
      <c r="A65" s="2">
        <v>26</v>
      </c>
      <c r="B65" s="3">
        <v>45723</v>
      </c>
      <c r="C65" s="2">
        <v>7</v>
      </c>
      <c r="D65" s="2">
        <v>4</v>
      </c>
      <c r="E65" s="2">
        <v>3</v>
      </c>
      <c r="G65" s="1"/>
    </row>
    <row r="66" spans="1:7" x14ac:dyDescent="0.3">
      <c r="A66" s="2">
        <v>29</v>
      </c>
      <c r="B66" s="3">
        <v>45723</v>
      </c>
      <c r="C66" s="2">
        <v>5</v>
      </c>
      <c r="D66" s="2">
        <v>7</v>
      </c>
      <c r="E66" s="2">
        <v>3</v>
      </c>
      <c r="G66" s="1"/>
    </row>
    <row r="67" spans="1:7" x14ac:dyDescent="0.3">
      <c r="A67" s="2">
        <v>78</v>
      </c>
      <c r="B67" s="3">
        <v>45723</v>
      </c>
      <c r="C67" s="2">
        <v>1</v>
      </c>
      <c r="D67" s="2">
        <v>9</v>
      </c>
      <c r="E67" s="2">
        <v>3</v>
      </c>
      <c r="G67" s="1"/>
    </row>
    <row r="68" spans="1:7" x14ac:dyDescent="0.3">
      <c r="A68" s="2">
        <v>98</v>
      </c>
      <c r="B68" s="3">
        <v>45723</v>
      </c>
      <c r="C68" s="2">
        <v>4</v>
      </c>
      <c r="D68" s="2">
        <v>5</v>
      </c>
      <c r="E68" s="2">
        <v>6</v>
      </c>
      <c r="G68" s="1"/>
    </row>
    <row r="69" spans="1:7" x14ac:dyDescent="0.3">
      <c r="A69" s="2">
        <v>111</v>
      </c>
      <c r="B69" s="3">
        <v>45723</v>
      </c>
      <c r="C69" s="2">
        <v>5</v>
      </c>
      <c r="D69" s="2">
        <v>7</v>
      </c>
      <c r="E69" s="2">
        <v>3</v>
      </c>
      <c r="G69" s="1"/>
    </row>
    <row r="70" spans="1:7" x14ac:dyDescent="0.3">
      <c r="A70" s="2">
        <v>118</v>
      </c>
      <c r="B70" s="3">
        <v>45723</v>
      </c>
      <c r="C70" s="2">
        <v>5</v>
      </c>
      <c r="D70" s="2">
        <v>7</v>
      </c>
      <c r="E70" s="2">
        <v>2</v>
      </c>
      <c r="G70" s="1"/>
    </row>
    <row r="71" spans="1:7" x14ac:dyDescent="0.3">
      <c r="A71" s="2">
        <v>122</v>
      </c>
      <c r="B71" s="3">
        <v>45723</v>
      </c>
      <c r="C71" s="2">
        <v>4</v>
      </c>
      <c r="D71" s="2">
        <v>8</v>
      </c>
      <c r="E71" s="2">
        <v>1</v>
      </c>
      <c r="G71" s="1"/>
    </row>
    <row r="72" spans="1:7" x14ac:dyDescent="0.3">
      <c r="A72" s="2">
        <v>134</v>
      </c>
      <c r="B72" s="3">
        <v>45723</v>
      </c>
      <c r="C72" s="2">
        <v>5</v>
      </c>
      <c r="D72" s="2">
        <v>6</v>
      </c>
      <c r="E72" s="2">
        <v>2</v>
      </c>
      <c r="G72" s="1"/>
    </row>
    <row r="73" spans="1:7" x14ac:dyDescent="0.3">
      <c r="A73" s="2">
        <v>147</v>
      </c>
      <c r="B73" s="3">
        <v>45723</v>
      </c>
      <c r="C73" s="2">
        <v>7</v>
      </c>
      <c r="D73" s="2">
        <v>2</v>
      </c>
      <c r="E73" s="2">
        <v>5</v>
      </c>
      <c r="G73" s="1"/>
    </row>
    <row r="74" spans="1:7" x14ac:dyDescent="0.3">
      <c r="A74" s="2">
        <v>158</v>
      </c>
      <c r="B74" s="3">
        <v>45723</v>
      </c>
      <c r="C74" s="2">
        <v>7</v>
      </c>
      <c r="D74" s="2">
        <v>3</v>
      </c>
      <c r="E74" s="2">
        <v>3</v>
      </c>
      <c r="G74" s="1"/>
    </row>
    <row r="75" spans="1:7" x14ac:dyDescent="0.3">
      <c r="A75" s="2">
        <v>159</v>
      </c>
      <c r="B75" s="3">
        <v>45723</v>
      </c>
      <c r="C75" s="2">
        <v>6</v>
      </c>
      <c r="D75" s="2">
        <v>5</v>
      </c>
      <c r="E75" s="2">
        <v>1</v>
      </c>
      <c r="F75">
        <f>COUNT(A64:A75)</f>
        <v>12</v>
      </c>
      <c r="G75" s="1"/>
    </row>
    <row r="76" spans="1:7" x14ac:dyDescent="0.3">
      <c r="A76" s="4">
        <v>40</v>
      </c>
      <c r="B76" s="5">
        <v>45724</v>
      </c>
      <c r="C76" s="4">
        <v>3</v>
      </c>
      <c r="D76" s="4">
        <v>8</v>
      </c>
      <c r="E76" s="4">
        <v>4</v>
      </c>
      <c r="G76" s="1"/>
    </row>
    <row r="77" spans="1:7" x14ac:dyDescent="0.3">
      <c r="A77" s="4">
        <v>48</v>
      </c>
      <c r="B77" s="5">
        <v>45724</v>
      </c>
      <c r="C77" s="4">
        <v>4</v>
      </c>
      <c r="D77" s="4">
        <v>8</v>
      </c>
      <c r="E77" s="4">
        <v>2</v>
      </c>
      <c r="G77" s="1"/>
    </row>
    <row r="78" spans="1:7" x14ac:dyDescent="0.3">
      <c r="A78" s="4">
        <v>51</v>
      </c>
      <c r="B78" s="5">
        <v>45724</v>
      </c>
      <c r="C78" s="4">
        <v>6</v>
      </c>
      <c r="D78" s="4">
        <v>3</v>
      </c>
      <c r="E78" s="4">
        <v>5</v>
      </c>
      <c r="G78" s="1"/>
    </row>
    <row r="79" spans="1:7" x14ac:dyDescent="0.3">
      <c r="A79" s="4">
        <v>54</v>
      </c>
      <c r="B79" s="5">
        <v>45724</v>
      </c>
      <c r="C79" s="4">
        <v>6</v>
      </c>
      <c r="D79" s="4">
        <v>7</v>
      </c>
      <c r="E79" s="4">
        <v>2</v>
      </c>
      <c r="G79" s="1"/>
    </row>
    <row r="80" spans="1:7" x14ac:dyDescent="0.3">
      <c r="A80" s="4">
        <v>65</v>
      </c>
      <c r="B80" s="5">
        <v>45724</v>
      </c>
      <c r="C80" s="4">
        <v>1</v>
      </c>
      <c r="D80" s="4">
        <v>8</v>
      </c>
      <c r="E80" s="4">
        <v>4</v>
      </c>
      <c r="G80" s="1"/>
    </row>
    <row r="81" spans="1:7" x14ac:dyDescent="0.3">
      <c r="A81" s="4">
        <v>71</v>
      </c>
      <c r="B81" s="5">
        <v>45724</v>
      </c>
      <c r="C81" s="4">
        <v>4</v>
      </c>
      <c r="D81" s="4">
        <v>7</v>
      </c>
      <c r="E81" s="4">
        <v>4</v>
      </c>
      <c r="G81" s="1"/>
    </row>
    <row r="82" spans="1:7" x14ac:dyDescent="0.3">
      <c r="A82" s="4">
        <v>77</v>
      </c>
      <c r="B82" s="5">
        <v>45724</v>
      </c>
      <c r="C82" s="4">
        <v>1</v>
      </c>
      <c r="D82" s="4">
        <v>10</v>
      </c>
      <c r="E82" s="4">
        <v>3</v>
      </c>
      <c r="G82" s="1"/>
    </row>
    <row r="83" spans="1:7" x14ac:dyDescent="0.3">
      <c r="A83" s="4">
        <v>80</v>
      </c>
      <c r="B83" s="5">
        <v>45724</v>
      </c>
      <c r="C83" s="4">
        <v>7</v>
      </c>
      <c r="D83" s="4">
        <v>4</v>
      </c>
      <c r="E83" s="4">
        <v>3</v>
      </c>
      <c r="G83" s="1"/>
    </row>
    <row r="84" spans="1:7" x14ac:dyDescent="0.3">
      <c r="A84" s="4">
        <v>84</v>
      </c>
      <c r="B84" s="5">
        <v>45724</v>
      </c>
      <c r="C84" s="4">
        <v>7</v>
      </c>
      <c r="D84" s="4">
        <v>5</v>
      </c>
      <c r="E84" s="4">
        <v>2</v>
      </c>
      <c r="G84" s="1"/>
    </row>
    <row r="85" spans="1:7" x14ac:dyDescent="0.3">
      <c r="A85" s="4">
        <v>87</v>
      </c>
      <c r="B85" s="5">
        <v>45724</v>
      </c>
      <c r="C85" s="4">
        <v>2</v>
      </c>
      <c r="D85" s="4">
        <v>4</v>
      </c>
      <c r="E85" s="4">
        <v>7</v>
      </c>
      <c r="G85" s="1"/>
    </row>
    <row r="86" spans="1:7" x14ac:dyDescent="0.3">
      <c r="A86" s="4">
        <v>99</v>
      </c>
      <c r="B86" s="5">
        <v>45724</v>
      </c>
      <c r="C86" s="4">
        <v>6</v>
      </c>
      <c r="D86" s="4">
        <v>6</v>
      </c>
      <c r="E86" s="4">
        <v>3</v>
      </c>
      <c r="G86" s="1"/>
    </row>
    <row r="87" spans="1:7" x14ac:dyDescent="0.3">
      <c r="A87" s="4">
        <v>108</v>
      </c>
      <c r="B87" s="5">
        <v>45724</v>
      </c>
      <c r="C87" s="4">
        <v>2</v>
      </c>
      <c r="D87" s="4">
        <v>9</v>
      </c>
      <c r="E87" s="4">
        <v>3</v>
      </c>
      <c r="G87" s="1"/>
    </row>
    <row r="88" spans="1:7" x14ac:dyDescent="0.3">
      <c r="A88" s="4">
        <v>109</v>
      </c>
      <c r="B88" s="5">
        <v>45724</v>
      </c>
      <c r="C88" s="4">
        <v>6</v>
      </c>
      <c r="D88" s="4">
        <v>6</v>
      </c>
      <c r="E88" s="4">
        <v>4</v>
      </c>
      <c r="G88" s="1"/>
    </row>
    <row r="89" spans="1:7" x14ac:dyDescent="0.3">
      <c r="A89" s="4">
        <v>129</v>
      </c>
      <c r="B89" s="5">
        <v>45724</v>
      </c>
      <c r="C89" s="4">
        <v>2</v>
      </c>
      <c r="D89" s="4">
        <v>11</v>
      </c>
      <c r="E89" s="4">
        <v>2</v>
      </c>
      <c r="G89" s="1"/>
    </row>
    <row r="90" spans="1:7" x14ac:dyDescent="0.3">
      <c r="A90" s="4">
        <v>131</v>
      </c>
      <c r="B90" s="5">
        <v>45724</v>
      </c>
      <c r="C90" s="4">
        <v>7</v>
      </c>
      <c r="D90" s="4">
        <v>4</v>
      </c>
      <c r="E90" s="4">
        <v>3</v>
      </c>
      <c r="G90" s="1"/>
    </row>
    <row r="91" spans="1:7" x14ac:dyDescent="0.3">
      <c r="A91" s="4">
        <v>139</v>
      </c>
      <c r="B91" s="5">
        <v>45724</v>
      </c>
      <c r="C91" s="4">
        <v>4</v>
      </c>
      <c r="D91" s="4">
        <v>1</v>
      </c>
      <c r="E91" s="4">
        <v>9</v>
      </c>
      <c r="G91" s="1"/>
    </row>
    <row r="92" spans="1:7" x14ac:dyDescent="0.3">
      <c r="A92" s="4">
        <v>142</v>
      </c>
      <c r="B92" s="5">
        <v>45724</v>
      </c>
      <c r="C92" s="4">
        <v>7</v>
      </c>
      <c r="D92" s="4">
        <v>4</v>
      </c>
      <c r="E92" s="4">
        <v>2</v>
      </c>
      <c r="G92" s="1"/>
    </row>
    <row r="93" spans="1:7" x14ac:dyDescent="0.3">
      <c r="A93" s="4">
        <v>143</v>
      </c>
      <c r="B93" s="5">
        <v>45724</v>
      </c>
      <c r="C93" s="4">
        <v>8</v>
      </c>
      <c r="D93" s="4">
        <v>3</v>
      </c>
      <c r="E93" s="4">
        <v>5</v>
      </c>
      <c r="G93" s="1"/>
    </row>
    <row r="94" spans="1:7" x14ac:dyDescent="0.3">
      <c r="A94" s="4">
        <v>148</v>
      </c>
      <c r="B94" s="5">
        <v>45724</v>
      </c>
      <c r="C94" s="4">
        <v>2</v>
      </c>
      <c r="D94" s="4">
        <v>6</v>
      </c>
      <c r="E94" s="4">
        <v>7</v>
      </c>
      <c r="G94" s="1"/>
    </row>
    <row r="95" spans="1:7" x14ac:dyDescent="0.3">
      <c r="A95" s="4">
        <v>153</v>
      </c>
      <c r="B95" s="5">
        <v>45724</v>
      </c>
      <c r="C95" s="4">
        <v>2</v>
      </c>
      <c r="D95" s="4">
        <v>10</v>
      </c>
      <c r="E95" s="4">
        <v>3</v>
      </c>
      <c r="G95" s="1"/>
    </row>
    <row r="96" spans="1:7" x14ac:dyDescent="0.3">
      <c r="A96" s="4">
        <v>156</v>
      </c>
      <c r="B96" s="5">
        <v>45724</v>
      </c>
      <c r="C96" s="4">
        <v>5</v>
      </c>
      <c r="D96" s="4">
        <v>8</v>
      </c>
      <c r="E96" s="4">
        <v>1</v>
      </c>
      <c r="G96" s="1"/>
    </row>
    <row r="97" spans="1:7" x14ac:dyDescent="0.3">
      <c r="A97" s="4">
        <v>157</v>
      </c>
      <c r="B97" s="5">
        <v>45724</v>
      </c>
      <c r="C97" s="4">
        <v>8</v>
      </c>
      <c r="D97" s="4">
        <v>4</v>
      </c>
      <c r="E97" s="4">
        <v>2</v>
      </c>
      <c r="G97" s="1"/>
    </row>
    <row r="98" spans="1:7" x14ac:dyDescent="0.3">
      <c r="A98" s="4">
        <v>160</v>
      </c>
      <c r="B98" s="5">
        <v>45724</v>
      </c>
      <c r="C98" s="4">
        <v>2</v>
      </c>
      <c r="D98" s="4">
        <v>10</v>
      </c>
      <c r="E98" s="4">
        <v>3</v>
      </c>
      <c r="G98" s="1"/>
    </row>
    <row r="99" spans="1:7" x14ac:dyDescent="0.3">
      <c r="A99" s="4">
        <v>161</v>
      </c>
      <c r="B99" s="5">
        <v>45724</v>
      </c>
      <c r="C99" s="4">
        <v>1</v>
      </c>
      <c r="D99" s="4">
        <v>9</v>
      </c>
      <c r="E99" s="4">
        <v>5</v>
      </c>
      <c r="G99" s="1"/>
    </row>
    <row r="100" spans="1:7" x14ac:dyDescent="0.3">
      <c r="A100" s="4">
        <v>178</v>
      </c>
      <c r="B100" s="5">
        <v>45724</v>
      </c>
      <c r="C100" s="4">
        <v>6</v>
      </c>
      <c r="D100" s="4">
        <v>6</v>
      </c>
      <c r="E100" s="4">
        <v>3</v>
      </c>
      <c r="G100" s="1"/>
    </row>
    <row r="101" spans="1:7" x14ac:dyDescent="0.3">
      <c r="A101" s="4">
        <v>179</v>
      </c>
      <c r="B101" s="5">
        <v>45724</v>
      </c>
      <c r="C101" s="4">
        <v>1</v>
      </c>
      <c r="D101" s="4">
        <v>7</v>
      </c>
      <c r="E101" s="4">
        <v>5</v>
      </c>
      <c r="G101" s="1"/>
    </row>
    <row r="102" spans="1:7" x14ac:dyDescent="0.3">
      <c r="A102" s="4">
        <v>180</v>
      </c>
      <c r="B102" s="5">
        <v>45724</v>
      </c>
      <c r="C102" s="4">
        <v>3</v>
      </c>
      <c r="D102" s="4">
        <v>7</v>
      </c>
      <c r="E102" s="4">
        <v>2</v>
      </c>
      <c r="G102" s="1"/>
    </row>
    <row r="103" spans="1:7" x14ac:dyDescent="0.3">
      <c r="A103" s="4">
        <v>193</v>
      </c>
      <c r="B103" s="5">
        <v>45724</v>
      </c>
      <c r="C103" s="4">
        <v>6</v>
      </c>
      <c r="D103" s="4">
        <v>4</v>
      </c>
      <c r="E103" s="4">
        <v>4</v>
      </c>
      <c r="G103" s="1"/>
    </row>
    <row r="104" spans="1:7" x14ac:dyDescent="0.3">
      <c r="A104" s="4">
        <v>194</v>
      </c>
      <c r="B104" s="5">
        <v>45724</v>
      </c>
      <c r="C104" s="4">
        <v>3</v>
      </c>
      <c r="D104" s="4">
        <v>7</v>
      </c>
      <c r="E104" s="4">
        <v>2</v>
      </c>
      <c r="F104">
        <f>COUNT(A76:A104)</f>
        <v>29</v>
      </c>
      <c r="G104" s="1"/>
    </row>
    <row r="105" spans="1:7" x14ac:dyDescent="0.3">
      <c r="A105" s="2">
        <v>59</v>
      </c>
      <c r="B105" s="3">
        <v>45725</v>
      </c>
      <c r="C105" s="2">
        <v>5</v>
      </c>
      <c r="D105" s="2">
        <v>6</v>
      </c>
      <c r="E105" s="2">
        <v>4</v>
      </c>
      <c r="G105" s="1"/>
    </row>
    <row r="106" spans="1:7" x14ac:dyDescent="0.3">
      <c r="A106" s="2">
        <v>63</v>
      </c>
      <c r="B106" s="3">
        <v>45725</v>
      </c>
      <c r="C106" s="2">
        <v>6</v>
      </c>
      <c r="D106" s="2">
        <v>4</v>
      </c>
      <c r="E106" s="2">
        <v>4</v>
      </c>
      <c r="G106" s="1"/>
    </row>
    <row r="107" spans="1:7" x14ac:dyDescent="0.3">
      <c r="A107" s="2">
        <v>67</v>
      </c>
      <c r="B107" s="3">
        <v>45725</v>
      </c>
      <c r="C107" s="2">
        <v>5</v>
      </c>
      <c r="D107" s="2">
        <v>7</v>
      </c>
      <c r="E107" s="2">
        <v>3</v>
      </c>
      <c r="G107" s="1"/>
    </row>
    <row r="108" spans="1:7" x14ac:dyDescent="0.3">
      <c r="A108" s="2">
        <v>68</v>
      </c>
      <c r="B108" s="3">
        <v>45725</v>
      </c>
      <c r="C108" s="2">
        <v>4</v>
      </c>
      <c r="D108" s="2">
        <v>6</v>
      </c>
      <c r="E108" s="2">
        <v>5</v>
      </c>
      <c r="G108" s="1"/>
    </row>
    <row r="109" spans="1:7" x14ac:dyDescent="0.3">
      <c r="A109" s="2">
        <v>79</v>
      </c>
      <c r="B109" s="3">
        <v>45725</v>
      </c>
      <c r="C109" s="2">
        <v>1</v>
      </c>
      <c r="D109" s="2">
        <v>9</v>
      </c>
      <c r="E109" s="2">
        <v>4</v>
      </c>
      <c r="G109" s="1"/>
    </row>
    <row r="110" spans="1:7" x14ac:dyDescent="0.3">
      <c r="A110" s="2">
        <v>94</v>
      </c>
      <c r="B110" s="3">
        <v>45725</v>
      </c>
      <c r="C110" s="2">
        <v>1</v>
      </c>
      <c r="D110" s="2">
        <v>9</v>
      </c>
      <c r="E110" s="2">
        <v>3</v>
      </c>
      <c r="G110" s="1"/>
    </row>
    <row r="111" spans="1:7" x14ac:dyDescent="0.3">
      <c r="A111" s="2">
        <v>102</v>
      </c>
      <c r="B111" s="3">
        <v>45725</v>
      </c>
      <c r="C111" s="2">
        <v>6</v>
      </c>
      <c r="D111" s="2">
        <v>6</v>
      </c>
      <c r="E111" s="2">
        <v>3</v>
      </c>
      <c r="G111" s="1"/>
    </row>
    <row r="112" spans="1:7" x14ac:dyDescent="0.3">
      <c r="A112" s="2">
        <v>115</v>
      </c>
      <c r="B112" s="3">
        <v>45725</v>
      </c>
      <c r="C112" s="2">
        <v>6</v>
      </c>
      <c r="D112" s="2">
        <v>6</v>
      </c>
      <c r="E112" s="2">
        <v>2</v>
      </c>
      <c r="G112" s="1"/>
    </row>
    <row r="113" spans="1:7" x14ac:dyDescent="0.3">
      <c r="A113" s="2">
        <v>117</v>
      </c>
      <c r="B113" s="3">
        <v>45725</v>
      </c>
      <c r="C113" s="2">
        <v>8</v>
      </c>
      <c r="D113" s="2">
        <v>5</v>
      </c>
      <c r="E113" s="2">
        <v>3</v>
      </c>
      <c r="G113" s="1"/>
    </row>
    <row r="114" spans="1:7" x14ac:dyDescent="0.3">
      <c r="A114" s="2">
        <v>144</v>
      </c>
      <c r="B114" s="3">
        <v>45725</v>
      </c>
      <c r="C114" s="2">
        <v>4</v>
      </c>
      <c r="D114" s="2">
        <v>7</v>
      </c>
      <c r="E114" s="2">
        <v>3</v>
      </c>
      <c r="G114" s="1"/>
    </row>
    <row r="115" spans="1:7" x14ac:dyDescent="0.3">
      <c r="A115" s="2">
        <v>152</v>
      </c>
      <c r="B115" s="3">
        <v>45725</v>
      </c>
      <c r="C115" s="2">
        <v>3</v>
      </c>
      <c r="D115" s="2">
        <v>9</v>
      </c>
      <c r="E115" s="2">
        <v>3</v>
      </c>
      <c r="G115" s="1"/>
    </row>
    <row r="116" spans="1:7" x14ac:dyDescent="0.3">
      <c r="A116" s="2">
        <v>174</v>
      </c>
      <c r="B116" s="3">
        <v>45725</v>
      </c>
      <c r="C116" s="2">
        <v>6</v>
      </c>
      <c r="D116" s="2">
        <v>3</v>
      </c>
      <c r="E116" s="2">
        <v>6</v>
      </c>
      <c r="G116" s="1"/>
    </row>
    <row r="117" spans="1:7" x14ac:dyDescent="0.3">
      <c r="A117" s="2">
        <v>183</v>
      </c>
      <c r="B117" s="3">
        <v>45725</v>
      </c>
      <c r="C117" s="2">
        <v>1</v>
      </c>
      <c r="D117" s="2">
        <v>7</v>
      </c>
      <c r="E117" s="2">
        <v>6</v>
      </c>
      <c r="G117" s="1"/>
    </row>
    <row r="118" spans="1:7" x14ac:dyDescent="0.3">
      <c r="A118" s="2">
        <v>187</v>
      </c>
      <c r="B118" s="3">
        <v>45725</v>
      </c>
      <c r="C118" s="2">
        <v>2</v>
      </c>
      <c r="D118" s="2">
        <v>6</v>
      </c>
      <c r="E118" s="2">
        <v>8</v>
      </c>
      <c r="F118">
        <f>COUNT(A105:A118)</f>
        <v>14</v>
      </c>
      <c r="G118" s="1"/>
    </row>
    <row r="119" spans="1:7" x14ac:dyDescent="0.3">
      <c r="A119" s="4">
        <v>8</v>
      </c>
      <c r="B119" s="5">
        <v>45726</v>
      </c>
      <c r="C119" s="4">
        <v>1</v>
      </c>
      <c r="D119" s="4">
        <v>10</v>
      </c>
      <c r="E119" s="4">
        <v>4</v>
      </c>
      <c r="G119" s="1"/>
    </row>
    <row r="120" spans="1:7" x14ac:dyDescent="0.3">
      <c r="A120" s="4">
        <v>37</v>
      </c>
      <c r="B120" s="5">
        <v>45726</v>
      </c>
      <c r="C120" s="4">
        <v>4</v>
      </c>
      <c r="D120" s="4">
        <v>5</v>
      </c>
      <c r="E120" s="4">
        <v>7</v>
      </c>
      <c r="G120" s="1"/>
    </row>
    <row r="121" spans="1:7" x14ac:dyDescent="0.3">
      <c r="A121" s="4">
        <v>72</v>
      </c>
      <c r="B121" s="5">
        <v>45726</v>
      </c>
      <c r="C121" s="4">
        <v>5</v>
      </c>
      <c r="D121" s="4">
        <v>2</v>
      </c>
      <c r="E121" s="4">
        <v>7</v>
      </c>
      <c r="G121" s="1"/>
    </row>
    <row r="122" spans="1:7" x14ac:dyDescent="0.3">
      <c r="A122" s="4">
        <v>85</v>
      </c>
      <c r="B122" s="5">
        <v>45726</v>
      </c>
      <c r="C122" s="4">
        <v>5</v>
      </c>
      <c r="D122" s="4">
        <v>7</v>
      </c>
      <c r="E122" s="4">
        <v>1</v>
      </c>
      <c r="G122" s="1"/>
    </row>
    <row r="123" spans="1:7" x14ac:dyDescent="0.3">
      <c r="A123" s="4">
        <v>90</v>
      </c>
      <c r="B123" s="5">
        <v>45726</v>
      </c>
      <c r="C123" s="4">
        <v>2</v>
      </c>
      <c r="D123" s="4">
        <v>9</v>
      </c>
      <c r="E123" s="4">
        <v>3</v>
      </c>
      <c r="G123" s="1"/>
    </row>
    <row r="124" spans="1:7" x14ac:dyDescent="0.3">
      <c r="A124" s="4">
        <v>106</v>
      </c>
      <c r="B124" s="5">
        <v>45726</v>
      </c>
      <c r="C124" s="4">
        <v>4</v>
      </c>
      <c r="D124" s="4">
        <v>5</v>
      </c>
      <c r="E124" s="4">
        <v>5</v>
      </c>
      <c r="G124" s="1"/>
    </row>
    <row r="125" spans="1:7" x14ac:dyDescent="0.3">
      <c r="A125" s="4">
        <v>154</v>
      </c>
      <c r="B125" s="5">
        <v>45726</v>
      </c>
      <c r="C125" s="4">
        <v>7</v>
      </c>
      <c r="D125" s="4">
        <v>4</v>
      </c>
      <c r="E125" s="4">
        <v>3</v>
      </c>
      <c r="G125" s="1"/>
    </row>
    <row r="126" spans="1:7" x14ac:dyDescent="0.3">
      <c r="A126" s="4">
        <v>175</v>
      </c>
      <c r="B126" s="5">
        <v>45726</v>
      </c>
      <c r="C126" s="4">
        <v>3</v>
      </c>
      <c r="D126" s="4">
        <v>7</v>
      </c>
      <c r="E126" s="4">
        <v>5</v>
      </c>
      <c r="G126" s="1"/>
    </row>
    <row r="127" spans="1:7" x14ac:dyDescent="0.3">
      <c r="A127" s="4">
        <v>176</v>
      </c>
      <c r="B127" s="5">
        <v>45726</v>
      </c>
      <c r="C127" s="4">
        <v>5</v>
      </c>
      <c r="D127" s="4">
        <v>5</v>
      </c>
      <c r="E127" s="4">
        <v>5</v>
      </c>
      <c r="F127">
        <f>COUNT(A119:A127)</f>
        <v>9</v>
      </c>
      <c r="G127" s="1"/>
    </row>
    <row r="128" spans="1:7" x14ac:dyDescent="0.3">
      <c r="A128" s="2">
        <v>34</v>
      </c>
      <c r="B128" s="3">
        <v>45727</v>
      </c>
      <c r="C128" s="2">
        <v>3</v>
      </c>
      <c r="D128" s="2">
        <v>8</v>
      </c>
      <c r="E128" s="2">
        <v>3</v>
      </c>
      <c r="G128" s="1"/>
    </row>
    <row r="129" spans="1:7" x14ac:dyDescent="0.3">
      <c r="A129" s="2">
        <v>42</v>
      </c>
      <c r="B129" s="3">
        <v>45727</v>
      </c>
      <c r="C129" s="2">
        <v>3</v>
      </c>
      <c r="D129" s="2">
        <v>8</v>
      </c>
      <c r="E129" s="2">
        <v>4</v>
      </c>
      <c r="G129" s="1"/>
    </row>
    <row r="130" spans="1:7" x14ac:dyDescent="0.3">
      <c r="A130" s="2">
        <v>124</v>
      </c>
      <c r="B130" s="3">
        <v>45727</v>
      </c>
      <c r="C130" s="2">
        <v>3</v>
      </c>
      <c r="D130" s="2">
        <v>6</v>
      </c>
      <c r="E130" s="2">
        <v>5</v>
      </c>
      <c r="G130" s="1"/>
    </row>
    <row r="131" spans="1:7" x14ac:dyDescent="0.3">
      <c r="A131" s="2">
        <v>132</v>
      </c>
      <c r="B131" s="3">
        <v>45727</v>
      </c>
      <c r="C131" s="2">
        <v>6</v>
      </c>
      <c r="D131" s="2">
        <v>6</v>
      </c>
      <c r="E131" s="2">
        <v>2</v>
      </c>
      <c r="G131" s="1"/>
    </row>
    <row r="132" spans="1:7" x14ac:dyDescent="0.3">
      <c r="A132" s="2">
        <v>150</v>
      </c>
      <c r="B132" s="3">
        <v>45727</v>
      </c>
      <c r="C132" s="2">
        <v>7</v>
      </c>
      <c r="D132" s="2">
        <v>5</v>
      </c>
      <c r="E132" s="2">
        <v>4</v>
      </c>
      <c r="G132" s="1"/>
    </row>
    <row r="133" spans="1:7" x14ac:dyDescent="0.3">
      <c r="A133" s="2">
        <v>162</v>
      </c>
      <c r="B133" s="3">
        <v>45727</v>
      </c>
      <c r="C133" s="2">
        <v>4</v>
      </c>
      <c r="D133" s="2">
        <v>7</v>
      </c>
      <c r="E133" s="2">
        <v>3</v>
      </c>
      <c r="G133" s="1"/>
    </row>
    <row r="134" spans="1:7" x14ac:dyDescent="0.3">
      <c r="A134" s="2">
        <v>170</v>
      </c>
      <c r="B134" s="3">
        <v>45727</v>
      </c>
      <c r="C134" s="2">
        <v>5</v>
      </c>
      <c r="D134" s="2">
        <v>5</v>
      </c>
      <c r="E134" s="2">
        <v>4</v>
      </c>
      <c r="F134">
        <f>COUNT(A128:A134)</f>
        <v>7</v>
      </c>
      <c r="G134" s="1"/>
    </row>
    <row r="135" spans="1:7" x14ac:dyDescent="0.3">
      <c r="A135" s="4">
        <v>16</v>
      </c>
      <c r="B135" s="5">
        <v>45728</v>
      </c>
      <c r="C135" s="4">
        <v>7</v>
      </c>
      <c r="D135" s="4">
        <v>6</v>
      </c>
      <c r="E135" s="4">
        <v>2</v>
      </c>
      <c r="G135" s="1"/>
    </row>
    <row r="136" spans="1:7" x14ac:dyDescent="0.3">
      <c r="A136" s="4">
        <v>31</v>
      </c>
      <c r="B136" s="5">
        <v>45728</v>
      </c>
      <c r="C136" s="4">
        <v>4</v>
      </c>
      <c r="D136" s="4">
        <v>5</v>
      </c>
      <c r="E136" s="4">
        <v>6</v>
      </c>
      <c r="G136" s="1"/>
    </row>
    <row r="137" spans="1:7" x14ac:dyDescent="0.3">
      <c r="A137" s="4">
        <v>35</v>
      </c>
      <c r="B137" s="5">
        <v>45728</v>
      </c>
      <c r="C137" s="4">
        <v>5</v>
      </c>
      <c r="D137" s="4">
        <v>6</v>
      </c>
      <c r="E137" s="4">
        <v>2</v>
      </c>
      <c r="G137" s="1"/>
    </row>
    <row r="138" spans="1:7" x14ac:dyDescent="0.3">
      <c r="A138" s="4">
        <v>36</v>
      </c>
      <c r="B138" s="5">
        <v>45728</v>
      </c>
      <c r="C138" s="4">
        <v>5</v>
      </c>
      <c r="D138" s="4">
        <v>7</v>
      </c>
      <c r="E138" s="4">
        <v>2</v>
      </c>
      <c r="G138" s="1"/>
    </row>
    <row r="139" spans="1:7" x14ac:dyDescent="0.3">
      <c r="A139" s="4">
        <v>38</v>
      </c>
      <c r="B139" s="5">
        <v>45728</v>
      </c>
      <c r="C139" s="4">
        <v>3</v>
      </c>
      <c r="D139" s="4">
        <v>10</v>
      </c>
      <c r="E139" s="4">
        <v>1</v>
      </c>
      <c r="G139" s="1"/>
    </row>
    <row r="140" spans="1:7" x14ac:dyDescent="0.3">
      <c r="A140" s="4">
        <v>50</v>
      </c>
      <c r="B140" s="5">
        <v>45728</v>
      </c>
      <c r="C140" s="4">
        <v>4</v>
      </c>
      <c r="D140" s="4">
        <v>7</v>
      </c>
      <c r="E140" s="4">
        <v>3</v>
      </c>
      <c r="G140" s="1"/>
    </row>
    <row r="141" spans="1:7" x14ac:dyDescent="0.3">
      <c r="A141" s="4">
        <v>53</v>
      </c>
      <c r="B141" s="5">
        <v>45728</v>
      </c>
      <c r="C141" s="4">
        <v>4</v>
      </c>
      <c r="D141" s="4">
        <v>5</v>
      </c>
      <c r="E141" s="4">
        <v>6</v>
      </c>
      <c r="G141" s="1"/>
    </row>
    <row r="142" spans="1:7" x14ac:dyDescent="0.3">
      <c r="A142" s="4">
        <v>61</v>
      </c>
      <c r="B142" s="5">
        <v>45728</v>
      </c>
      <c r="C142" s="4">
        <v>4</v>
      </c>
      <c r="D142" s="4">
        <v>4</v>
      </c>
      <c r="E142" s="4">
        <v>7</v>
      </c>
      <c r="G142" s="1"/>
    </row>
    <row r="143" spans="1:7" x14ac:dyDescent="0.3">
      <c r="A143" s="4">
        <v>82</v>
      </c>
      <c r="B143" s="5">
        <v>45728</v>
      </c>
      <c r="C143" s="4">
        <v>2</v>
      </c>
      <c r="D143" s="4">
        <v>7</v>
      </c>
      <c r="E143" s="4">
        <v>5</v>
      </c>
      <c r="G143" s="1"/>
    </row>
    <row r="144" spans="1:7" x14ac:dyDescent="0.3">
      <c r="A144" s="4">
        <v>83</v>
      </c>
      <c r="B144" s="5">
        <v>45728</v>
      </c>
      <c r="C144" s="4">
        <v>5</v>
      </c>
      <c r="D144" s="4">
        <v>6</v>
      </c>
      <c r="E144" s="4">
        <v>2</v>
      </c>
      <c r="G144" s="1"/>
    </row>
    <row r="145" spans="1:7" x14ac:dyDescent="0.3">
      <c r="A145" s="4">
        <v>93</v>
      </c>
      <c r="B145" s="5">
        <v>45728</v>
      </c>
      <c r="C145" s="4">
        <v>6</v>
      </c>
      <c r="D145" s="4">
        <v>6</v>
      </c>
      <c r="E145" s="4">
        <v>2</v>
      </c>
      <c r="G145" s="1"/>
    </row>
    <row r="146" spans="1:7" x14ac:dyDescent="0.3">
      <c r="A146" s="4">
        <v>112</v>
      </c>
      <c r="B146" s="5">
        <v>45728</v>
      </c>
      <c r="C146" s="4">
        <v>2</v>
      </c>
      <c r="D146" s="4">
        <v>5</v>
      </c>
      <c r="E146" s="4">
        <v>6</v>
      </c>
      <c r="G146" s="1"/>
    </row>
    <row r="147" spans="1:7" x14ac:dyDescent="0.3">
      <c r="A147" s="4">
        <v>171</v>
      </c>
      <c r="B147" s="5">
        <v>45728</v>
      </c>
      <c r="C147" s="4">
        <v>2</v>
      </c>
      <c r="D147" s="4">
        <v>8</v>
      </c>
      <c r="E147" s="4">
        <v>5</v>
      </c>
      <c r="G147" s="1"/>
    </row>
    <row r="148" spans="1:7" x14ac:dyDescent="0.3">
      <c r="A148" s="4">
        <v>173</v>
      </c>
      <c r="B148" s="5">
        <v>45728</v>
      </c>
      <c r="C148" s="4">
        <v>6</v>
      </c>
      <c r="D148" s="4">
        <v>6</v>
      </c>
      <c r="E148" s="4">
        <v>3</v>
      </c>
      <c r="G148" s="1"/>
    </row>
    <row r="149" spans="1:7" x14ac:dyDescent="0.3">
      <c r="A149" s="4">
        <v>184</v>
      </c>
      <c r="B149" s="5">
        <v>45728</v>
      </c>
      <c r="C149" s="4">
        <v>6</v>
      </c>
      <c r="D149" s="4">
        <v>2</v>
      </c>
      <c r="E149" s="4">
        <v>8</v>
      </c>
      <c r="G149" s="1"/>
    </row>
    <row r="150" spans="1:7" x14ac:dyDescent="0.3">
      <c r="A150" s="4">
        <v>195</v>
      </c>
      <c r="B150" s="5">
        <v>45728</v>
      </c>
      <c r="C150" s="4">
        <v>1</v>
      </c>
      <c r="D150" s="4">
        <v>7</v>
      </c>
      <c r="E150" s="4">
        <v>6</v>
      </c>
      <c r="F150">
        <f>COUNT(A135:A150)</f>
        <v>16</v>
      </c>
      <c r="G150" s="1"/>
    </row>
    <row r="151" spans="1:7" x14ac:dyDescent="0.3">
      <c r="A151" s="2">
        <v>11</v>
      </c>
      <c r="B151" s="3">
        <v>45729</v>
      </c>
      <c r="C151" s="2">
        <v>4</v>
      </c>
      <c r="D151" s="2">
        <v>8</v>
      </c>
      <c r="E151" s="2">
        <v>3</v>
      </c>
      <c r="G151" s="1"/>
    </row>
    <row r="152" spans="1:7" x14ac:dyDescent="0.3">
      <c r="A152" s="2">
        <v>17</v>
      </c>
      <c r="B152" s="3">
        <v>45729</v>
      </c>
      <c r="C152" s="2">
        <v>6</v>
      </c>
      <c r="D152" s="2">
        <v>7</v>
      </c>
      <c r="E152" s="2">
        <v>3</v>
      </c>
      <c r="G152" s="1"/>
    </row>
    <row r="153" spans="1:7" x14ac:dyDescent="0.3">
      <c r="A153" s="2">
        <v>62</v>
      </c>
      <c r="B153" s="3">
        <v>45729</v>
      </c>
      <c r="C153" s="2">
        <v>6</v>
      </c>
      <c r="D153" s="2">
        <v>6</v>
      </c>
      <c r="E153" s="2">
        <v>3</v>
      </c>
      <c r="G153" s="1"/>
    </row>
    <row r="154" spans="1:7" x14ac:dyDescent="0.3">
      <c r="A154" s="2">
        <v>96</v>
      </c>
      <c r="B154" s="3">
        <v>45729</v>
      </c>
      <c r="C154" s="2">
        <v>3</v>
      </c>
      <c r="D154" s="2">
        <v>9</v>
      </c>
      <c r="E154" s="2">
        <v>3</v>
      </c>
      <c r="G154" s="1"/>
    </row>
    <row r="155" spans="1:7" x14ac:dyDescent="0.3">
      <c r="A155" s="2">
        <v>103</v>
      </c>
      <c r="B155" s="3">
        <v>45729</v>
      </c>
      <c r="C155" s="2">
        <v>7</v>
      </c>
      <c r="D155" s="2">
        <v>4</v>
      </c>
      <c r="E155" s="2">
        <v>2</v>
      </c>
      <c r="G155" s="1"/>
    </row>
    <row r="156" spans="1:7" x14ac:dyDescent="0.3">
      <c r="A156" s="2">
        <v>172</v>
      </c>
      <c r="B156" s="3">
        <v>45729</v>
      </c>
      <c r="C156" s="2">
        <v>9</v>
      </c>
      <c r="D156" s="2">
        <v>3</v>
      </c>
      <c r="E156" s="2">
        <v>2</v>
      </c>
      <c r="G156" s="1"/>
    </row>
    <row r="157" spans="1:7" x14ac:dyDescent="0.3">
      <c r="A157" s="2">
        <v>189</v>
      </c>
      <c r="B157" s="3">
        <v>45729</v>
      </c>
      <c r="C157" s="2">
        <v>6</v>
      </c>
      <c r="D157" s="2">
        <v>6</v>
      </c>
      <c r="E157" s="2">
        <v>2</v>
      </c>
      <c r="G157" s="1"/>
    </row>
    <row r="158" spans="1:7" x14ac:dyDescent="0.3">
      <c r="A158" s="2">
        <v>192</v>
      </c>
      <c r="B158" s="3">
        <v>45729</v>
      </c>
      <c r="C158" s="2">
        <v>6</v>
      </c>
      <c r="D158" s="2">
        <v>7</v>
      </c>
      <c r="E158" s="2">
        <v>2</v>
      </c>
      <c r="F158">
        <f>COUNT(A151:A158)</f>
        <v>8</v>
      </c>
      <c r="G158" s="1"/>
    </row>
    <row r="159" spans="1:7" x14ac:dyDescent="0.3">
      <c r="A159" s="4">
        <v>57</v>
      </c>
      <c r="B159" s="5">
        <v>45730</v>
      </c>
      <c r="C159" s="4">
        <v>1</v>
      </c>
      <c r="D159" s="4">
        <v>10</v>
      </c>
      <c r="E159" s="4">
        <v>4</v>
      </c>
      <c r="G159" s="1"/>
    </row>
    <row r="160" spans="1:7" x14ac:dyDescent="0.3">
      <c r="A160" s="4">
        <v>64</v>
      </c>
      <c r="B160" s="5">
        <v>45730</v>
      </c>
      <c r="C160" s="4">
        <v>3</v>
      </c>
      <c r="D160" s="4">
        <v>3</v>
      </c>
      <c r="E160" s="4">
        <v>10</v>
      </c>
      <c r="G160" s="1"/>
    </row>
    <row r="161" spans="1:7" x14ac:dyDescent="0.3">
      <c r="A161" s="4">
        <v>125</v>
      </c>
      <c r="B161" s="5">
        <v>45730</v>
      </c>
      <c r="C161" s="4">
        <v>6</v>
      </c>
      <c r="D161" s="4">
        <v>6</v>
      </c>
      <c r="E161" s="4">
        <v>3</v>
      </c>
      <c r="G161" s="1"/>
    </row>
    <row r="162" spans="1:7" x14ac:dyDescent="0.3">
      <c r="A162" s="4">
        <v>130</v>
      </c>
      <c r="B162" s="5">
        <v>45730</v>
      </c>
      <c r="C162" s="4">
        <v>2</v>
      </c>
      <c r="D162" s="4">
        <v>7</v>
      </c>
      <c r="E162" s="4">
        <v>7</v>
      </c>
      <c r="G162" s="1"/>
    </row>
    <row r="163" spans="1:7" x14ac:dyDescent="0.3">
      <c r="A163" s="4">
        <v>151</v>
      </c>
      <c r="B163" s="5">
        <v>45730</v>
      </c>
      <c r="C163" s="4">
        <v>8</v>
      </c>
      <c r="D163" s="4">
        <v>4</v>
      </c>
      <c r="E163" s="4">
        <v>3</v>
      </c>
      <c r="G163" s="1"/>
    </row>
    <row r="164" spans="1:7" x14ac:dyDescent="0.3">
      <c r="A164" s="4">
        <v>155</v>
      </c>
      <c r="B164" s="5">
        <v>45730</v>
      </c>
      <c r="C164" s="4">
        <v>1</v>
      </c>
      <c r="D164" s="4">
        <v>7</v>
      </c>
      <c r="E164" s="4">
        <v>6</v>
      </c>
      <c r="G164" s="1"/>
    </row>
    <row r="165" spans="1:7" x14ac:dyDescent="0.3">
      <c r="A165" s="4">
        <v>182</v>
      </c>
      <c r="B165" s="5">
        <v>45730</v>
      </c>
      <c r="C165" s="4">
        <v>4</v>
      </c>
      <c r="D165" s="4">
        <v>7</v>
      </c>
      <c r="E165" s="4">
        <v>2</v>
      </c>
      <c r="F165">
        <f>COUNT(A159:A165)</f>
        <v>7</v>
      </c>
      <c r="G165" s="1"/>
    </row>
    <row r="166" spans="1:7" x14ac:dyDescent="0.3">
      <c r="A166" s="2">
        <v>9</v>
      </c>
      <c r="B166" s="3">
        <v>45731</v>
      </c>
      <c r="C166" s="2">
        <v>8</v>
      </c>
      <c r="D166" s="2">
        <v>3</v>
      </c>
      <c r="E166" s="2">
        <v>4</v>
      </c>
      <c r="G166" s="1"/>
    </row>
    <row r="167" spans="1:7" x14ac:dyDescent="0.3">
      <c r="A167" s="2">
        <v>10</v>
      </c>
      <c r="B167" s="3">
        <v>45731</v>
      </c>
      <c r="C167" s="2">
        <v>3</v>
      </c>
      <c r="D167" s="2">
        <v>8</v>
      </c>
      <c r="E167" s="2">
        <v>4</v>
      </c>
      <c r="G167" s="1"/>
    </row>
    <row r="168" spans="1:7" x14ac:dyDescent="0.3">
      <c r="A168" s="2">
        <v>14</v>
      </c>
      <c r="B168" s="3">
        <v>45731</v>
      </c>
      <c r="C168" s="2">
        <v>3</v>
      </c>
      <c r="D168" s="2">
        <v>10</v>
      </c>
      <c r="E168" s="2">
        <v>2</v>
      </c>
      <c r="G168" s="1"/>
    </row>
    <row r="169" spans="1:7" x14ac:dyDescent="0.3">
      <c r="A169" s="2">
        <v>15</v>
      </c>
      <c r="B169" s="3">
        <v>45731</v>
      </c>
      <c r="C169" s="2">
        <v>4</v>
      </c>
      <c r="D169" s="2">
        <v>6</v>
      </c>
      <c r="E169" s="2">
        <v>3</v>
      </c>
      <c r="G169" s="1"/>
    </row>
    <row r="170" spans="1:7" x14ac:dyDescent="0.3">
      <c r="A170" s="2">
        <v>18</v>
      </c>
      <c r="B170" s="3">
        <v>45731</v>
      </c>
      <c r="C170" s="2">
        <v>5</v>
      </c>
      <c r="D170" s="2">
        <v>5</v>
      </c>
      <c r="E170" s="2">
        <v>4</v>
      </c>
      <c r="G170" s="1"/>
    </row>
    <row r="171" spans="1:7" x14ac:dyDescent="0.3">
      <c r="A171" s="2">
        <v>49</v>
      </c>
      <c r="B171" s="3">
        <v>45731</v>
      </c>
      <c r="C171" s="2">
        <v>7</v>
      </c>
      <c r="D171" s="2">
        <v>4</v>
      </c>
      <c r="E171" s="2">
        <v>3</v>
      </c>
      <c r="G171" s="1"/>
    </row>
    <row r="172" spans="1:7" x14ac:dyDescent="0.3">
      <c r="A172" s="2">
        <v>58</v>
      </c>
      <c r="B172" s="3">
        <v>45731</v>
      </c>
      <c r="C172" s="2">
        <v>8</v>
      </c>
      <c r="D172" s="2">
        <v>5</v>
      </c>
      <c r="E172" s="2">
        <v>2</v>
      </c>
      <c r="G172" s="1"/>
    </row>
    <row r="173" spans="1:7" x14ac:dyDescent="0.3">
      <c r="A173" s="2">
        <v>60</v>
      </c>
      <c r="B173" s="3">
        <v>45731</v>
      </c>
      <c r="C173" s="2">
        <v>9</v>
      </c>
      <c r="D173" s="2">
        <v>3</v>
      </c>
      <c r="E173" s="2">
        <v>2</v>
      </c>
      <c r="G173" s="1"/>
    </row>
    <row r="174" spans="1:7" x14ac:dyDescent="0.3">
      <c r="A174" s="2">
        <v>92</v>
      </c>
      <c r="B174" s="3">
        <v>45731</v>
      </c>
      <c r="C174" s="2">
        <v>7</v>
      </c>
      <c r="D174" s="2">
        <v>5</v>
      </c>
      <c r="E174" s="2">
        <v>2</v>
      </c>
      <c r="G174" s="1"/>
    </row>
    <row r="175" spans="1:7" x14ac:dyDescent="0.3">
      <c r="A175" s="2">
        <v>113</v>
      </c>
      <c r="B175" s="3">
        <v>45731</v>
      </c>
      <c r="C175" s="2">
        <v>5</v>
      </c>
      <c r="D175" s="2">
        <v>6</v>
      </c>
      <c r="E175" s="2">
        <v>3</v>
      </c>
      <c r="G175" s="1"/>
    </row>
    <row r="176" spans="1:7" x14ac:dyDescent="0.3">
      <c r="A176" s="2">
        <v>145</v>
      </c>
      <c r="B176" s="3">
        <v>45731</v>
      </c>
      <c r="C176" s="2">
        <v>4</v>
      </c>
      <c r="D176" s="2">
        <v>8</v>
      </c>
      <c r="E176" s="2">
        <v>3</v>
      </c>
      <c r="G176" s="1"/>
    </row>
    <row r="177" spans="1:7" x14ac:dyDescent="0.3">
      <c r="A177" s="2">
        <v>168</v>
      </c>
      <c r="B177" s="3">
        <v>45731</v>
      </c>
      <c r="C177" s="2">
        <v>6</v>
      </c>
      <c r="D177" s="2">
        <v>3</v>
      </c>
      <c r="E177" s="2">
        <v>6</v>
      </c>
      <c r="G177" s="1"/>
    </row>
    <row r="178" spans="1:7" x14ac:dyDescent="0.3">
      <c r="A178" s="2">
        <v>169</v>
      </c>
      <c r="B178" s="3">
        <v>45731</v>
      </c>
      <c r="C178" s="2">
        <v>4</v>
      </c>
      <c r="D178" s="2">
        <v>6</v>
      </c>
      <c r="E178" s="2">
        <v>6</v>
      </c>
      <c r="F178">
        <f>COUNT(A166:A178)</f>
        <v>13</v>
      </c>
      <c r="G178" s="1"/>
    </row>
    <row r="179" spans="1:7" x14ac:dyDescent="0.3">
      <c r="A179" s="4">
        <v>27</v>
      </c>
      <c r="B179" s="5">
        <v>45732</v>
      </c>
      <c r="C179" s="4">
        <v>5</v>
      </c>
      <c r="D179" s="4">
        <v>7</v>
      </c>
      <c r="E179" s="4">
        <v>3</v>
      </c>
      <c r="G179" s="1"/>
    </row>
    <row r="180" spans="1:7" x14ac:dyDescent="0.3">
      <c r="A180" s="4">
        <v>39</v>
      </c>
      <c r="B180" s="5">
        <v>45732</v>
      </c>
      <c r="C180" s="4">
        <v>2</v>
      </c>
      <c r="D180" s="4">
        <v>9</v>
      </c>
      <c r="E180" s="4">
        <v>3</v>
      </c>
      <c r="G180" s="1"/>
    </row>
    <row r="181" spans="1:7" x14ac:dyDescent="0.3">
      <c r="A181" s="4">
        <v>45</v>
      </c>
      <c r="B181" s="5">
        <v>45732</v>
      </c>
      <c r="C181" s="4">
        <v>3</v>
      </c>
      <c r="D181" s="4">
        <v>8</v>
      </c>
      <c r="E181" s="4">
        <v>1</v>
      </c>
      <c r="G181" s="1"/>
    </row>
    <row r="182" spans="1:7" x14ac:dyDescent="0.3">
      <c r="A182" s="4">
        <v>66</v>
      </c>
      <c r="B182" s="5">
        <v>45732</v>
      </c>
      <c r="C182" s="4">
        <v>4</v>
      </c>
      <c r="D182" s="4">
        <v>3</v>
      </c>
      <c r="E182" s="4">
        <v>8</v>
      </c>
      <c r="G182" s="1"/>
    </row>
    <row r="183" spans="1:7" x14ac:dyDescent="0.3">
      <c r="A183" s="4">
        <v>70</v>
      </c>
      <c r="B183" s="5">
        <v>45732</v>
      </c>
      <c r="C183" s="4">
        <v>6</v>
      </c>
      <c r="D183" s="4">
        <v>4</v>
      </c>
      <c r="E183" s="4">
        <v>5</v>
      </c>
      <c r="G183" s="1"/>
    </row>
    <row r="184" spans="1:7" x14ac:dyDescent="0.3">
      <c r="A184" s="4">
        <v>105</v>
      </c>
      <c r="B184" s="5">
        <v>45732</v>
      </c>
      <c r="C184" s="4">
        <v>7</v>
      </c>
      <c r="D184" s="4">
        <v>4</v>
      </c>
      <c r="E184" s="4">
        <v>4</v>
      </c>
      <c r="G184" s="1"/>
    </row>
    <row r="185" spans="1:7" x14ac:dyDescent="0.3">
      <c r="A185" s="4">
        <v>110</v>
      </c>
      <c r="B185" s="5">
        <v>45732</v>
      </c>
      <c r="C185" s="4">
        <v>3</v>
      </c>
      <c r="D185" s="4">
        <v>9</v>
      </c>
      <c r="E185" s="4">
        <v>2</v>
      </c>
      <c r="G185" s="1"/>
    </row>
    <row r="186" spans="1:7" x14ac:dyDescent="0.3">
      <c r="A186" s="4">
        <v>114</v>
      </c>
      <c r="B186" s="5">
        <v>45732</v>
      </c>
      <c r="C186" s="4">
        <v>4</v>
      </c>
      <c r="D186" s="4">
        <v>8</v>
      </c>
      <c r="E186" s="4">
        <v>2</v>
      </c>
      <c r="G186" s="1"/>
    </row>
    <row r="187" spans="1:7" x14ac:dyDescent="0.3">
      <c r="A187" s="4">
        <v>121</v>
      </c>
      <c r="B187" s="5">
        <v>45732</v>
      </c>
      <c r="C187" s="4">
        <v>5</v>
      </c>
      <c r="D187" s="4">
        <v>6</v>
      </c>
      <c r="E187" s="4">
        <v>4</v>
      </c>
      <c r="G187" s="1"/>
    </row>
    <row r="188" spans="1:7" x14ac:dyDescent="0.3">
      <c r="A188" s="4">
        <v>166</v>
      </c>
      <c r="B188" s="5">
        <v>45732</v>
      </c>
      <c r="C188" s="4">
        <v>4</v>
      </c>
      <c r="D188" s="4">
        <v>5</v>
      </c>
      <c r="E188" s="4">
        <v>7</v>
      </c>
      <c r="G188" s="1"/>
    </row>
    <row r="189" spans="1:7" x14ac:dyDescent="0.3">
      <c r="A189" s="4">
        <v>177</v>
      </c>
      <c r="B189" s="5">
        <v>45732</v>
      </c>
      <c r="C189" s="4">
        <v>5</v>
      </c>
      <c r="D189" s="4">
        <v>7</v>
      </c>
      <c r="E189" s="4">
        <v>1</v>
      </c>
      <c r="F189">
        <f>COUNT(A179:A189)</f>
        <v>11</v>
      </c>
      <c r="G189" s="1"/>
    </row>
  </sheetData>
  <sortState xmlns:xlrd2="http://schemas.microsoft.com/office/spreadsheetml/2017/richdata2" ref="A2:E189">
    <sortCondition ref="B1:B189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quiz_responses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Cui</cp:lastModifiedBy>
  <dcterms:created xsi:type="dcterms:W3CDTF">2025-03-03T06:26:03Z</dcterms:created>
  <dcterms:modified xsi:type="dcterms:W3CDTF">2025-04-08T07:33:15Z</dcterms:modified>
</cp:coreProperties>
</file>